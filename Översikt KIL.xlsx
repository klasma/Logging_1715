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46251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46251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46251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46251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46251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46251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57743-2021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46251</v>
      </c>
      <c r="F10" t="inlineStr">
        <is>
          <t>VÄRMLANDS LÄN</t>
        </is>
      </c>
      <c r="G10" t="inlineStr">
        <is>
          <t>KIL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HYPERLINK("https://klasma.github.io/Logging_1715/artfynd/A 57743-2021 artfynd.xlsx", "A 57743-2021")</f>
        <v/>
      </c>
      <c r="X10">
        <f>HYPERLINK("https://klasma.github.io/Logging_1715/kartor/A 57743-2021 karta.png", "A 57743-2021")</f>
        <v/>
      </c>
      <c r="Y10">
        <f>HYPERLINK("https://klasma.github.io/Logging_1715/kartor_geotiff/A 57743-2021 georefererad karta.tif", "A 57743-2021")</f>
        <v/>
      </c>
      <c r="AA10">
        <f>HYPERLINK("https://klasma.github.io/Logging_1715/klagomål/A 57743-2021 FSC-klagomål.docx", "A 57743-2021")</f>
        <v/>
      </c>
      <c r="AB10">
        <f>HYPERLINK("https://klasma.github.io/Logging_1715/klagomålsmail/A 57743-2021 FSC-klagomål mail.docx", "A 57743-2021")</f>
        <v/>
      </c>
      <c r="AC10">
        <f>HYPERLINK("https://klasma.github.io/Logging_1715/tillsyn/A 57743-2021 tillsynsbegäran.docx", "A 57743-2021")</f>
        <v/>
      </c>
      <c r="AD10">
        <f>HYPERLINK("https://klasma.github.io/Logging_1715/tillsynsmail/A 57743-2021 tillsynsbegäran mail.docx", "A 57743-2021")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46251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62010-2022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44914</v>
      </c>
      <c r="E12" s="1" t="n">
        <v>46251</v>
      </c>
      <c r="F12" t="inlineStr">
        <is>
          <t>VÄRMLANDS LÄN</t>
        </is>
      </c>
      <c r="G12" t="inlineStr">
        <is>
          <t>KIL</t>
        </is>
      </c>
      <c r="I12" t="n">
        <v>7.8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HYPERLINK("https://klasma.github.io/Logging_1715/artfynd/A 62010-2022 artfynd.xlsx", "A 62010-2022")</f>
        <v/>
      </c>
      <c r="X12">
        <f>HYPERLINK("https://klasma.github.io/Logging_1715/kartor/A 62010-2022 karta.png", "A 62010-2022")</f>
        <v/>
      </c>
      <c r="Y12">
        <f>HYPERLINK("https://klasma.github.io/Logging_1715/kartor_geotiff/A 62010-2022 georefererad karta.tif", "A 62010-2022")</f>
        <v/>
      </c>
      <c r="AA12">
        <f>HYPERLINK("https://klasma.github.io/Logging_1715/klagomål/A 62010-2022 FSC-klagomål.docx", "A 62010-2022")</f>
        <v/>
      </c>
      <c r="AB12">
        <f>HYPERLINK("https://klasma.github.io/Logging_1715/klagomålsmail/A 62010-2022 FSC-klagomål mail.docx", "A 62010-2022")</f>
        <v/>
      </c>
      <c r="AC12">
        <f>HYPERLINK("https://klasma.github.io/Logging_1715/tillsyn/A 62010-2022 tillsynsbegäran.docx", "A 62010-2022")</f>
        <v/>
      </c>
      <c r="AD12">
        <f>HYPERLINK("https://klasma.github.io/Logging_1715/tillsynsmail/A 62010-2022 tillsynsbegäran mail.docx", "A 62010-2022")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46251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38039-2024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45544</v>
      </c>
      <c r="E14" s="1" t="n">
        <v>46251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Vedticka</t>
        </is>
      </c>
      <c r="W14">
        <f>HYPERLINK("https://klasma.github.io/Logging_1715/artfynd/A 38039-2024 artfynd.xlsx", "A 38039-2024")</f>
        <v/>
      </c>
      <c r="X14">
        <f>HYPERLINK("https://klasma.github.io/Logging_1715/kartor/A 38039-2024 karta.png", "A 38039-2024")</f>
        <v/>
      </c>
      <c r="Y14">
        <f>HYPERLINK("https://klasma.github.io/Logging_1715/kartor_geotiff/A 38039-2024 georefererad karta.tif", "A 38039-2024")</f>
        <v/>
      </c>
      <c r="AA14">
        <f>HYPERLINK("https://klasma.github.io/Logging_1715/klagomål/A 38039-2024 FSC-klagomål.docx", "A 38039-2024")</f>
        <v/>
      </c>
      <c r="AB14">
        <f>HYPERLINK("https://klasma.github.io/Logging_1715/klagomålsmail/A 38039-2024 FSC-klagomål mail.docx", "A 38039-2024")</f>
        <v/>
      </c>
      <c r="AC14">
        <f>HYPERLINK("https://klasma.github.io/Logging_1715/tillsyn/A 38039-2024 tillsynsbegäran.docx", "A 38039-2024")</f>
        <v/>
      </c>
      <c r="AD14">
        <f>HYPERLINK("https://klasma.github.io/Logging_1715/tillsynsmail/A 38039-2024 tillsynsbegäran mail.docx", "A 38039-2024")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46251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54177-2023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45232</v>
      </c>
      <c r="E16" s="1" t="n">
        <v>46251</v>
      </c>
      <c r="F16" t="inlineStr">
        <is>
          <t>VÄRMLANDS LÄN</t>
        </is>
      </c>
      <c r="G16" t="inlineStr">
        <is>
          <t>KIL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Strutbräken</t>
        </is>
      </c>
      <c r="W16">
        <f>HYPERLINK("https://klasma.github.io/Logging_1715/artfynd/A 54177-2023 artfynd.xlsx", "A 54177-2023")</f>
        <v/>
      </c>
      <c r="X16">
        <f>HYPERLINK("https://klasma.github.io/Logging_1715/kartor/A 54177-2023 karta.png", "A 54177-2023")</f>
        <v/>
      </c>
      <c r="Y16">
        <f>HYPERLINK("https://klasma.github.io/Logging_1715/kartor_geotiff/A 54177-2023 georefererad karta.tif", "A 54177-2023")</f>
        <v/>
      </c>
      <c r="AA16">
        <f>HYPERLINK("https://klasma.github.io/Logging_1715/klagomål/A 54177-2023 FSC-klagomål.docx", "A 54177-2023")</f>
        <v/>
      </c>
      <c r="AB16">
        <f>HYPERLINK("https://klasma.github.io/Logging_1715/klagomålsmail/A 54177-2023 FSC-klagomål mail.docx", "A 54177-2023")</f>
        <v/>
      </c>
      <c r="AC16">
        <f>HYPERLINK("https://klasma.github.io/Logging_1715/tillsyn/A 54177-2023 tillsynsbegäran.docx", "A 54177-2023")</f>
        <v/>
      </c>
      <c r="AD16">
        <f>HYPERLINK("https://klasma.github.io/Logging_1715/tillsynsmail/A 54177-2023 tillsynsbegäran mail.docx", "A 54177-2023")</f>
        <v/>
      </c>
    </row>
    <row r="17" ht="15" customHeight="1">
      <c r="A17" t="inlineStr">
        <is>
          <t>A 53498-2023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45230</v>
      </c>
      <c r="E17" s="1" t="n">
        <v>46251</v>
      </c>
      <c r="F17" t="inlineStr">
        <is>
          <t>VÄRMLANDS LÄN</t>
        </is>
      </c>
      <c r="G17" t="inlineStr">
        <is>
          <t>KIL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Brunfläckig pärlemorfjäril</t>
        </is>
      </c>
      <c r="W17">
        <f>HYPERLINK("https://klasma.github.io/Logging_1715/artfynd/A 53498-2023 artfynd.xlsx", "A 53498-2023")</f>
        <v/>
      </c>
      <c r="X17">
        <f>HYPERLINK("https://klasma.github.io/Logging_1715/kartor/A 53498-2023 karta.png", "A 53498-2023")</f>
        <v/>
      </c>
      <c r="Y17">
        <f>HYPERLINK("https://klasma.github.io/Logging_1715/kartor_geotiff/A 53498-2023 georefererad karta.tif", "A 53498-2023")</f>
        <v/>
      </c>
      <c r="AA17">
        <f>HYPERLINK("https://klasma.github.io/Logging_1715/klagomål/A 53498-2023 FSC-klagomål.docx", "A 53498-2023")</f>
        <v/>
      </c>
      <c r="AB17">
        <f>HYPERLINK("https://klasma.github.io/Logging_1715/klagomålsmail/A 53498-2023 FSC-klagomål mail.docx", "A 53498-2023")</f>
        <v/>
      </c>
      <c r="AC17">
        <f>HYPERLINK("https://klasma.github.io/Logging_1715/tillsyn/A 53498-2023 tillsynsbegäran.docx", "A 53498-2023")</f>
        <v/>
      </c>
      <c r="AD17">
        <f>HYPERLINK("https://klasma.github.io/Logging_1715/tillsynsmail/A 53498-2023 tillsynsbegäran mail.docx", "A 53498-2023")</f>
        <v/>
      </c>
    </row>
    <row r="18" ht="15" customHeight="1">
      <c r="A18" t="inlineStr">
        <is>
          <t>A 1320-2023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46251</v>
      </c>
      <c r="F18" t="inlineStr">
        <is>
          <t>VÄRMLANDS LÄN</t>
        </is>
      </c>
      <c r="G18" t="inlineStr">
        <is>
          <t>KIL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snok</t>
        </is>
      </c>
      <c r="W18">
        <f>HYPERLINK("https://klasma.github.io/Logging_1715/artfynd/A 1320-2023 artfynd.xlsx", "A 1320-2023")</f>
        <v/>
      </c>
      <c r="X18">
        <f>HYPERLINK("https://klasma.github.io/Logging_1715/kartor/A 1320-2023 karta.png", "A 1320-2023")</f>
        <v/>
      </c>
      <c r="Y18">
        <f>HYPERLINK("https://klasma.github.io/Logging_1715/kartor_geotiff/A 1320-2023 georefererad karta.tif", "A 1320-2023")</f>
        <v/>
      </c>
      <c r="AA18">
        <f>HYPERLINK("https://klasma.github.io/Logging_1715/klagomål/A 1320-2023 FSC-klagomål.docx", "A 1320-2023")</f>
        <v/>
      </c>
      <c r="AB18">
        <f>HYPERLINK("https://klasma.github.io/Logging_1715/klagomålsmail/A 1320-2023 FSC-klagomål mail.docx", "A 1320-2023")</f>
        <v/>
      </c>
      <c r="AC18">
        <f>HYPERLINK("https://klasma.github.io/Logging_1715/tillsyn/A 1320-2023 tillsynsbegäran.docx", "A 1320-2023")</f>
        <v/>
      </c>
      <c r="AD18">
        <f>HYPERLINK("https://klasma.github.io/Logging_1715/tillsynsmail/A 1320-2023 tillsynsbegäran mail.docx", "A 1320-2023")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46251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46251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11330-2024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46251</v>
      </c>
      <c r="F21" t="inlineStr">
        <is>
          <t>VÄRMLANDS LÄN</t>
        </is>
      </c>
      <c r="G21" t="inlineStr">
        <is>
          <t>KIL</t>
        </is>
      </c>
      <c r="H21" t="inlineStr">
        <is>
          <t>Kyrkan</t>
        </is>
      </c>
      <c r="I21" t="n">
        <v>6.9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HYPERLINK("https://klasma.github.io/Logging_1715/artfynd/A 11330-2024 artfynd.xlsx", "A 11330-2024")</f>
        <v/>
      </c>
      <c r="X21">
        <f>HYPERLINK("https://klasma.github.io/Logging_1715/kartor/A 11330-2024 karta.png", "A 11330-2024")</f>
        <v/>
      </c>
      <c r="Y21">
        <f>HYPERLINK("https://klasma.github.io/Logging_1715/kartor_geotiff/A 11330-2024 georefererad karta.tif", "A 11330-2024")</f>
        <v/>
      </c>
      <c r="AA21">
        <f>HYPERLINK("https://klasma.github.io/Logging_1715/klagomål/A 11330-2024 FSC-klagomål.docx", "A 11330-2024")</f>
        <v/>
      </c>
      <c r="AB21">
        <f>HYPERLINK("https://klasma.github.io/Logging_1715/klagomålsmail/A 11330-2024 FSC-klagomål mail.docx", "A 11330-2024")</f>
        <v/>
      </c>
      <c r="AC21">
        <f>HYPERLINK("https://klasma.github.io/Logging_1715/tillsyn/A 11330-2024 tillsynsbegäran.docx", "A 11330-2024")</f>
        <v/>
      </c>
      <c r="AD21">
        <f>HYPERLINK("https://klasma.github.io/Logging_1715/tillsynsmail/A 11330-2024 tillsynsbegäran mail.docx", "A 11330-2024")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46251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46251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46251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46251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46251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46251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46251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46251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46251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46251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46251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46251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46251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46251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46251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46251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46251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46251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46251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46251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46251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46251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46251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46251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46251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46251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46251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46251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46251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46251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46251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46251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46251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46251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46251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46251</v>
      </c>
      <c r="F57" t="inlineStr">
        <is>
          <t>VÄRMLANDS LÄN</t>
        </is>
      </c>
      <c r="G57" t="inlineStr">
        <is>
          <t>KIL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46251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46251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46251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  <c r="Z60">
        <f>HYPERLINK("https://klasma.github.io/Logging_1715/knärot/A 59064-2023 karta knärot.png", "A 59064-2023")</f>
        <v/>
      </c>
      <c r="AA60">
        <f>HYPERLINK("https://klasma.github.io/Logging_1715/klagomål/A 59064-2023 FSC-klagomål.docx", "A 59064-2023")</f>
        <v/>
      </c>
      <c r="AB60">
        <f>HYPERLINK("https://klasma.github.io/Logging_1715/klagomålsmail/A 59064-2023 FSC-klagomål mail.docx", "A 59064-2023")</f>
        <v/>
      </c>
      <c r="AC60">
        <f>HYPERLINK("https://klasma.github.io/Logging_1715/tillsyn/A 59064-2023 tillsynsbegäran.docx", "A 59064-2023")</f>
        <v/>
      </c>
      <c r="AD60">
        <f>HYPERLINK("https://klasma.github.io/Logging_1715/tillsynsmail/A 59064-2023 tillsynsbegäran mail.docx", "A 59064-2023")</f>
        <v/>
      </c>
    </row>
    <row r="61" ht="15" customHeight="1">
      <c r="A61" t="inlineStr">
        <is>
          <t>A 46117-2022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46251</v>
      </c>
      <c r="F61" t="inlineStr">
        <is>
          <t>VÄRMLANDS LÄN</t>
        </is>
      </c>
      <c r="G61" t="inlineStr">
        <is>
          <t>KIL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73022-2021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46251</v>
      </c>
      <c r="F62" t="inlineStr">
        <is>
          <t>VÄRMLANDS LÄN</t>
        </is>
      </c>
      <c r="G62" t="inlineStr">
        <is>
          <t>KIL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46251</v>
      </c>
      <c r="F63" t="inlineStr">
        <is>
          <t>VÄRMLANDS LÄN</t>
        </is>
      </c>
      <c r="G63" t="inlineStr">
        <is>
          <t>KIL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46251</v>
      </c>
      <c r="F64" t="inlineStr">
        <is>
          <t>VÄRMLANDS LÄN</t>
        </is>
      </c>
      <c r="G64" t="inlineStr">
        <is>
          <t>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46251</v>
      </c>
      <c r="F65" t="inlineStr">
        <is>
          <t>VÄRMLANDS LÄN</t>
        </is>
      </c>
      <c r="G65" t="inlineStr">
        <is>
          <t>KIL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46251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46251</v>
      </c>
      <c r="F67" t="inlineStr">
        <is>
          <t>VÄRMLANDS LÄN</t>
        </is>
      </c>
      <c r="G67" t="inlineStr">
        <is>
          <t>KIL</t>
        </is>
      </c>
      <c r="I67" t="n">
        <v>14.2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46251</v>
      </c>
      <c r="F68" t="inlineStr">
        <is>
          <t>VÄRMLANDS LÄN</t>
        </is>
      </c>
      <c r="G68" t="inlineStr">
        <is>
          <t>KIL</t>
        </is>
      </c>
      <c r="H68" t="inlineStr">
        <is>
          <t>Kommuner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46251</v>
      </c>
      <c r="F69" t="inlineStr">
        <is>
          <t>VÄRMLANDS LÄN</t>
        </is>
      </c>
      <c r="G69" t="inlineStr">
        <is>
          <t>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46251</v>
      </c>
      <c r="F70" t="inlineStr">
        <is>
          <t>VÄRMLANDS LÄN</t>
        </is>
      </c>
      <c r="G70" t="inlineStr">
        <is>
          <t>KIL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37962-2022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44811</v>
      </c>
      <c r="E71" s="1" t="n">
        <v>46251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44589</v>
      </c>
      <c r="E72" s="1" t="n">
        <v>46251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56762-2021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44481</v>
      </c>
      <c r="E73" s="1" t="n">
        <v>46251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44927</v>
      </c>
      <c r="E74" s="1" t="n">
        <v>46251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46251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45367</v>
      </c>
      <c r="E76" s="1" t="n">
        <v>46251</v>
      </c>
      <c r="F76" t="inlineStr">
        <is>
          <t>VÄRMLANDS LÄN</t>
        </is>
      </c>
      <c r="G76" t="inlineStr">
        <is>
          <t>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46251</v>
      </c>
      <c r="F77" t="inlineStr">
        <is>
          <t>VÄRMLANDS LÄN</t>
        </is>
      </c>
      <c r="G77" t="inlineStr">
        <is>
          <t>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46251</v>
      </c>
      <c r="F78" t="inlineStr">
        <is>
          <t>VÄRMLANDS LÄN</t>
        </is>
      </c>
      <c r="G78" t="inlineStr">
        <is>
          <t>KIL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65891-2021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46251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46251</v>
      </c>
      <c r="F80" t="inlineStr">
        <is>
          <t>VÄRMLANDS LÄN</t>
        </is>
      </c>
      <c r="G80" t="inlineStr">
        <is>
          <t>KIL</t>
        </is>
      </c>
      <c r="H80" t="inlineStr">
        <is>
          <t>Bergvik skog väst AB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34408-2024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45525</v>
      </c>
      <c r="E81" s="1" t="n">
        <v>46251</v>
      </c>
      <c r="F81" t="inlineStr">
        <is>
          <t>VÄRMLANDS LÄN</t>
        </is>
      </c>
      <c r="G81" t="inlineStr">
        <is>
          <t>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46251</v>
      </c>
      <c r="F82" t="inlineStr">
        <is>
          <t>VÄRMLANDS LÄN</t>
        </is>
      </c>
      <c r="G82" t="inlineStr">
        <is>
          <t>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46251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46251</v>
      </c>
      <c r="F84" t="inlineStr">
        <is>
          <t>VÄRMLANDS LÄN</t>
        </is>
      </c>
      <c r="G84" t="inlineStr">
        <is>
          <t>KIL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45294</v>
      </c>
      <c r="E85" s="1" t="n">
        <v>46251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46251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46251</v>
      </c>
      <c r="F87" t="inlineStr">
        <is>
          <t>VÄRMLANDS LÄN</t>
        </is>
      </c>
      <c r="G87" t="inlineStr">
        <is>
          <t>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45531</v>
      </c>
      <c r="E88" s="1" t="n">
        <v>46251</v>
      </c>
      <c r="F88" t="inlineStr">
        <is>
          <t>VÄRMLANDS LÄN</t>
        </is>
      </c>
      <c r="G88" t="inlineStr">
        <is>
          <t>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46251</v>
      </c>
      <c r="F89" t="inlineStr">
        <is>
          <t>VÄRMLANDS LÄN</t>
        </is>
      </c>
      <c r="G89" t="inlineStr">
        <is>
          <t>KIL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46251</v>
      </c>
      <c r="F90" t="inlineStr">
        <is>
          <t>VÄRMLANDS LÄN</t>
        </is>
      </c>
      <c r="G90" t="inlineStr">
        <is>
          <t>KIL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46251</v>
      </c>
      <c r="F91" t="inlineStr">
        <is>
          <t>VÄRMLANDS LÄN</t>
        </is>
      </c>
      <c r="G91" t="inlineStr">
        <is>
          <t>KIL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46251</v>
      </c>
      <c r="F92" t="inlineStr">
        <is>
          <t>VÄRMLANDS LÄN</t>
        </is>
      </c>
      <c r="G92" t="inlineStr">
        <is>
          <t>KIL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46251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46251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45448</v>
      </c>
      <c r="E95" s="1" t="n">
        <v>46251</v>
      </c>
      <c r="F95" t="inlineStr">
        <is>
          <t>VÄRMLANDS LÄN</t>
        </is>
      </c>
      <c r="G95" t="inlineStr">
        <is>
          <t>KIL</t>
        </is>
      </c>
      <c r="H95" t="inlineStr">
        <is>
          <t>Kyrkan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46251</v>
      </c>
      <c r="F96" t="inlineStr">
        <is>
          <t>VÄRMLANDS LÄN</t>
        </is>
      </c>
      <c r="G96" t="inlineStr">
        <is>
          <t>KIL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46251</v>
      </c>
      <c r="F97" t="inlineStr">
        <is>
          <t>VÄRMLANDS LÄN</t>
        </is>
      </c>
      <c r="G97" t="inlineStr">
        <is>
          <t>KIL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46251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46251</v>
      </c>
      <c r="F99" t="inlineStr">
        <is>
          <t>VÄRMLANDS LÄN</t>
        </is>
      </c>
      <c r="G99" t="inlineStr">
        <is>
          <t>KIL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46251</v>
      </c>
      <c r="F100" t="inlineStr">
        <is>
          <t>VÄRMLANDS LÄN</t>
        </is>
      </c>
      <c r="G100" t="inlineStr">
        <is>
          <t>KIL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46251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46251</v>
      </c>
      <c r="F102" t="inlineStr">
        <is>
          <t>VÄRMLANDS LÄN</t>
        </is>
      </c>
      <c r="G102" t="inlineStr">
        <is>
          <t>KIL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46251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46251</v>
      </c>
      <c r="F104" t="inlineStr">
        <is>
          <t>VÄRMLANDS LÄN</t>
        </is>
      </c>
      <c r="G104" t="inlineStr">
        <is>
          <t>KIL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44930</v>
      </c>
      <c r="E105" s="1" t="n">
        <v>46251</v>
      </c>
      <c r="F105" t="inlineStr">
        <is>
          <t>VÄRMLANDS LÄN</t>
        </is>
      </c>
      <c r="G105" t="inlineStr">
        <is>
          <t>KIL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73251-2021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46251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46251</v>
      </c>
      <c r="F107" t="inlineStr">
        <is>
          <t>VÄRMLANDS LÄN</t>
        </is>
      </c>
      <c r="G107" t="inlineStr">
        <is>
          <t>KIL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46251</v>
      </c>
      <c r="F108" t="inlineStr">
        <is>
          <t>VÄRMLANDS LÄN</t>
        </is>
      </c>
      <c r="G108" t="inlineStr">
        <is>
          <t>KIL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46251</v>
      </c>
      <c r="F109" t="inlineStr">
        <is>
          <t>VÄRMLANDS LÄN</t>
        </is>
      </c>
      <c r="G109" t="inlineStr">
        <is>
          <t>KIL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44915</v>
      </c>
      <c r="E110" s="1" t="n">
        <v>46251</v>
      </c>
      <c r="F110" t="inlineStr">
        <is>
          <t>VÄRMLANDS LÄN</t>
        </is>
      </c>
      <c r="G110" t="inlineStr">
        <is>
          <t>KIL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46251</v>
      </c>
      <c r="F111" t="inlineStr">
        <is>
          <t>VÄRMLANDS LÄN</t>
        </is>
      </c>
      <c r="G111" t="inlineStr">
        <is>
          <t>KIL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46251</v>
      </c>
      <c r="F112" t="inlineStr">
        <is>
          <t>VÄRMLANDS LÄN</t>
        </is>
      </c>
      <c r="G112" t="inlineStr">
        <is>
          <t>KIL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46251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45309</v>
      </c>
      <c r="E114" s="1" t="n">
        <v>46251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46251</v>
      </c>
      <c r="F115" t="inlineStr">
        <is>
          <t>VÄRMLANDS LÄN</t>
        </is>
      </c>
      <c r="G115" t="inlineStr">
        <is>
          <t>KIL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46251</v>
      </c>
      <c r="F116" t="inlineStr">
        <is>
          <t>VÄRMLANDS LÄN</t>
        </is>
      </c>
      <c r="G116" t="inlineStr">
        <is>
          <t>KIL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46251</v>
      </c>
      <c r="F117" t="inlineStr">
        <is>
          <t>VÄRMLANDS LÄN</t>
        </is>
      </c>
      <c r="G117" t="inlineStr">
        <is>
          <t>KIL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46098</v>
      </c>
      <c r="E118" s="1" t="n">
        <v>46251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46251</v>
      </c>
      <c r="F119" t="inlineStr">
        <is>
          <t>VÄRMLANDS LÄN</t>
        </is>
      </c>
      <c r="G119" t="inlineStr">
        <is>
          <t>KIL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46251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46251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46251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46251</v>
      </c>
      <c r="F123" t="inlineStr">
        <is>
          <t>VÄRMLANDS LÄN</t>
        </is>
      </c>
      <c r="G123" t="inlineStr">
        <is>
          <t>KIL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46251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46251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46251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45367</v>
      </c>
      <c r="E127" s="1" t="n">
        <v>46251</v>
      </c>
      <c r="F127" t="inlineStr">
        <is>
          <t>VÄRMLANDS LÄN</t>
        </is>
      </c>
      <c r="G127" t="inlineStr">
        <is>
          <t>KIL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46251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46251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46251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46251</v>
      </c>
      <c r="F131" t="inlineStr">
        <is>
          <t>VÄRMLANDS LÄN</t>
        </is>
      </c>
      <c r="G131" t="inlineStr">
        <is>
          <t>KIL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46251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45175</v>
      </c>
      <c r="E133" s="1" t="n">
        <v>46251</v>
      </c>
      <c r="F133" t="inlineStr">
        <is>
          <t>VÄRMLANDS LÄN</t>
        </is>
      </c>
      <c r="G133" t="inlineStr">
        <is>
          <t>KIL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46251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46251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46251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46112</v>
      </c>
      <c r="E137" s="1" t="n">
        <v>46251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46112</v>
      </c>
      <c r="E138" s="1" t="n">
        <v>46251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46251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46251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46251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44657</v>
      </c>
      <c r="E142" s="1" t="n">
        <v>46251</v>
      </c>
      <c r="F142" t="inlineStr">
        <is>
          <t>VÄRMLANDS LÄN</t>
        </is>
      </c>
      <c r="G142" t="inlineStr">
        <is>
          <t>KIL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46251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46251</v>
      </c>
      <c r="F144" t="inlineStr">
        <is>
          <t>VÄRMLANDS LÄN</t>
        </is>
      </c>
      <c r="G144" t="inlineStr">
        <is>
          <t>KIL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46251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46251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46251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46251</v>
      </c>
      <c r="F148" t="inlineStr">
        <is>
          <t>VÄRMLANDS LÄN</t>
        </is>
      </c>
      <c r="G148" t="inlineStr">
        <is>
          <t>KIL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46251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44941</v>
      </c>
      <c r="E150" s="1" t="n">
        <v>46251</v>
      </c>
      <c r="F150" t="inlineStr">
        <is>
          <t>VÄRMLANDS LÄN</t>
        </is>
      </c>
      <c r="G150" t="inlineStr">
        <is>
          <t>KIL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46251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46251</v>
      </c>
      <c r="F152" t="inlineStr">
        <is>
          <t>VÄRMLANDS LÄN</t>
        </is>
      </c>
      <c r="G152" t="inlineStr">
        <is>
          <t>KIL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46251</v>
      </c>
      <c r="F153" t="inlineStr">
        <is>
          <t>VÄRMLANDS LÄN</t>
        </is>
      </c>
      <c r="G153" t="inlineStr">
        <is>
          <t>KIL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46251</v>
      </c>
      <c r="F154" t="inlineStr">
        <is>
          <t>VÄRMLANDS LÄN</t>
        </is>
      </c>
      <c r="G154" t="inlineStr">
        <is>
          <t>KIL</t>
        </is>
      </c>
      <c r="H154" t="inlineStr">
        <is>
          <t>Kyrkan</t>
        </is>
      </c>
      <c r="I154" t="n">
        <v>24.9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46251</v>
      </c>
      <c r="F155" t="inlineStr">
        <is>
          <t>VÄRMLANDS LÄN</t>
        </is>
      </c>
      <c r="G155" t="inlineStr">
        <is>
          <t>KIL</t>
        </is>
      </c>
      <c r="H155" t="inlineStr">
        <is>
          <t>Bergvik skog väst AB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46251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46251</v>
      </c>
      <c r="F157" t="inlineStr">
        <is>
          <t>VÄRMLANDS LÄN</t>
        </is>
      </c>
      <c r="G157" t="inlineStr">
        <is>
          <t>KIL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46251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46251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46251</v>
      </c>
      <c r="F160" t="inlineStr">
        <is>
          <t>VÄRMLANDS LÄN</t>
        </is>
      </c>
      <c r="G160" t="inlineStr">
        <is>
          <t>KIL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46251</v>
      </c>
      <c r="F161" t="inlineStr">
        <is>
          <t>VÄRMLANDS LÄN</t>
        </is>
      </c>
      <c r="G161" t="inlineStr">
        <is>
          <t>KIL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72073-2021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44544</v>
      </c>
      <c r="E162" s="1" t="n">
        <v>46251</v>
      </c>
      <c r="F162" t="inlineStr">
        <is>
          <t>VÄRMLANDS LÄN</t>
        </is>
      </c>
      <c r="G162" t="inlineStr">
        <is>
          <t>KIL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46251</v>
      </c>
      <c r="F163" t="inlineStr">
        <is>
          <t>VÄRMLANDS LÄN</t>
        </is>
      </c>
      <c r="G163" t="inlineStr">
        <is>
          <t>KIL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46251</v>
      </c>
      <c r="F164" t="inlineStr">
        <is>
          <t>VÄRMLANDS LÄN</t>
        </is>
      </c>
      <c r="G164" t="inlineStr">
        <is>
          <t>KIL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46251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46251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46251</v>
      </c>
      <c r="F167" t="inlineStr">
        <is>
          <t>VÄRMLANDS LÄN</t>
        </is>
      </c>
      <c r="G167" t="inlineStr">
        <is>
          <t>KIL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46251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46251</v>
      </c>
      <c r="F169" t="inlineStr">
        <is>
          <t>VÄRMLANDS LÄN</t>
        </is>
      </c>
      <c r="G169" t="inlineStr">
        <is>
          <t>KIL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46251</v>
      </c>
      <c r="F170" t="inlineStr">
        <is>
          <t>VÄRMLANDS LÄN</t>
        </is>
      </c>
      <c r="G170" t="inlineStr">
        <is>
          <t>KIL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46251</v>
      </c>
      <c r="F171" t="inlineStr">
        <is>
          <t>VÄRMLANDS LÄN</t>
        </is>
      </c>
      <c r="G171" t="inlineStr">
        <is>
          <t>KIL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46251</v>
      </c>
      <c r="F172" t="inlineStr">
        <is>
          <t>VÄRMLANDS LÄN</t>
        </is>
      </c>
      <c r="G172" t="inlineStr">
        <is>
          <t>KIL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46251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46251</v>
      </c>
      <c r="F174" t="inlineStr">
        <is>
          <t>VÄRMLANDS LÄN</t>
        </is>
      </c>
      <c r="G174" t="inlineStr">
        <is>
          <t>KIL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45683</v>
      </c>
      <c r="E175" s="1" t="n">
        <v>46251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46251</v>
      </c>
      <c r="F176" t="inlineStr">
        <is>
          <t>VÄRMLANDS LÄN</t>
        </is>
      </c>
      <c r="G176" t="inlineStr">
        <is>
          <t>KIL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44442</v>
      </c>
      <c r="E177" s="1" t="n">
        <v>46251</v>
      </c>
      <c r="F177" t="inlineStr">
        <is>
          <t>VÄRMLANDS LÄN</t>
        </is>
      </c>
      <c r="G177" t="inlineStr">
        <is>
          <t>KIL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46251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45807</v>
      </c>
      <c r="E179" s="1" t="n">
        <v>46251</v>
      </c>
      <c r="F179" t="inlineStr">
        <is>
          <t>VÄRMLANDS LÄN</t>
        </is>
      </c>
      <c r="G179" t="inlineStr">
        <is>
          <t>KIL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46251</v>
      </c>
      <c r="F180" t="inlineStr">
        <is>
          <t>VÄRMLANDS LÄN</t>
        </is>
      </c>
      <c r="G180" t="inlineStr">
        <is>
          <t>KIL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46251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46251</v>
      </c>
      <c r="F182" t="inlineStr">
        <is>
          <t>VÄRMLANDS LÄN</t>
        </is>
      </c>
      <c r="G182" t="inlineStr">
        <is>
          <t>KIL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46251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46251</v>
      </c>
      <c r="F184" t="inlineStr">
        <is>
          <t>VÄRMLANDS LÄN</t>
        </is>
      </c>
      <c r="G184" t="inlineStr">
        <is>
          <t>KIL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46251</v>
      </c>
      <c r="F185" t="inlineStr">
        <is>
          <t>VÄRMLANDS LÄN</t>
        </is>
      </c>
      <c r="G185" t="inlineStr">
        <is>
          <t>KIL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46251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46251</v>
      </c>
      <c r="F187" t="inlineStr">
        <is>
          <t>VÄRMLANDS LÄN</t>
        </is>
      </c>
      <c r="G187" t="inlineStr">
        <is>
          <t>KIL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46251</v>
      </c>
      <c r="F188" t="inlineStr">
        <is>
          <t>VÄRMLANDS LÄN</t>
        </is>
      </c>
      <c r="G188" t="inlineStr">
        <is>
          <t>KIL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46251</v>
      </c>
      <c r="F189" t="inlineStr">
        <is>
          <t>VÄRMLANDS LÄN</t>
        </is>
      </c>
      <c r="G189" t="inlineStr">
        <is>
          <t>KIL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46251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45519</v>
      </c>
      <c r="E191" s="1" t="n">
        <v>46251</v>
      </c>
      <c r="F191" t="inlineStr">
        <is>
          <t>VÄRMLANDS LÄN</t>
        </is>
      </c>
      <c r="G191" t="inlineStr">
        <is>
          <t>KIL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46251</v>
      </c>
      <c r="F192" t="inlineStr">
        <is>
          <t>VÄRMLANDS LÄN</t>
        </is>
      </c>
      <c r="G192" t="inlineStr">
        <is>
          <t>KIL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45109</v>
      </c>
      <c r="E193" s="1" t="n">
        <v>46251</v>
      </c>
      <c r="F193" t="inlineStr">
        <is>
          <t>VÄRMLANDS LÄN</t>
        </is>
      </c>
      <c r="G193" t="inlineStr">
        <is>
          <t>KIL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46251</v>
      </c>
      <c r="F194" t="inlineStr">
        <is>
          <t>VÄRMLANDS LÄN</t>
        </is>
      </c>
      <c r="G194" t="inlineStr">
        <is>
          <t>KIL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46251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46251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46251</v>
      </c>
      <c r="F197" t="inlineStr">
        <is>
          <t>VÄRMLANDS LÄN</t>
        </is>
      </c>
      <c r="G197" t="inlineStr">
        <is>
          <t>KIL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42522-2021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44427</v>
      </c>
      <c r="E198" s="1" t="n">
        <v>46251</v>
      </c>
      <c r="F198" t="inlineStr">
        <is>
          <t>VÄRMLANDS LÄN</t>
        </is>
      </c>
      <c r="G198" t="inlineStr">
        <is>
          <t>KIL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46251</v>
      </c>
      <c r="F199" t="inlineStr">
        <is>
          <t>VÄRMLANDS LÄN</t>
        </is>
      </c>
      <c r="G199" t="inlineStr">
        <is>
          <t>KIL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46251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46251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45030</v>
      </c>
      <c r="E202" s="1" t="n">
        <v>46251</v>
      </c>
      <c r="F202" t="inlineStr">
        <is>
          <t>VÄRMLANDS LÄN</t>
        </is>
      </c>
      <c r="G202" t="inlineStr">
        <is>
          <t>KIL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46251</v>
      </c>
      <c r="F203" t="inlineStr">
        <is>
          <t>VÄRMLANDS LÄN</t>
        </is>
      </c>
      <c r="G203" t="inlineStr">
        <is>
          <t>KIL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46251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44754</v>
      </c>
      <c r="E205" s="1" t="n">
        <v>46251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46251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46251</v>
      </c>
      <c r="F207" t="inlineStr">
        <is>
          <t>VÄRMLANDS LÄN</t>
        </is>
      </c>
      <c r="G207" t="inlineStr">
        <is>
          <t>KIL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46251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46251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44907</v>
      </c>
      <c r="E210" s="1" t="n">
        <v>46251</v>
      </c>
      <c r="F210" t="inlineStr">
        <is>
          <t>VÄRMLANDS LÄN</t>
        </is>
      </c>
      <c r="G210" t="inlineStr">
        <is>
          <t>KIL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46251</v>
      </c>
      <c r="F211" t="inlineStr">
        <is>
          <t>VÄRMLANDS LÄN</t>
        </is>
      </c>
      <c r="G211" t="inlineStr">
        <is>
          <t>KIL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46251</v>
      </c>
      <c r="F212" t="inlineStr">
        <is>
          <t>VÄRMLANDS LÄN</t>
        </is>
      </c>
      <c r="G212" t="inlineStr">
        <is>
          <t>KIL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46251</v>
      </c>
      <c r="F213" t="inlineStr">
        <is>
          <t>VÄRMLANDS LÄN</t>
        </is>
      </c>
      <c r="G213" t="inlineStr">
        <is>
          <t>KIL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46251</v>
      </c>
      <c r="F214" t="inlineStr">
        <is>
          <t>VÄRMLANDS LÄN</t>
        </is>
      </c>
      <c r="G214" t="inlineStr">
        <is>
          <t>KIL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46251</v>
      </c>
      <c r="F215" t="inlineStr">
        <is>
          <t>VÄRMLANDS LÄN</t>
        </is>
      </c>
      <c r="G215" t="inlineStr">
        <is>
          <t>KIL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64193-2021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44510</v>
      </c>
      <c r="E216" s="1" t="n">
        <v>46251</v>
      </c>
      <c r="F216" t="inlineStr">
        <is>
          <t>VÄRMLANDS LÄN</t>
        </is>
      </c>
      <c r="G216" t="inlineStr">
        <is>
          <t>KIL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46251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45349</v>
      </c>
      <c r="E218" s="1" t="n">
        <v>46251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46251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46251</v>
      </c>
      <c r="F220" t="inlineStr">
        <is>
          <t>VÄRMLANDS LÄN</t>
        </is>
      </c>
      <c r="G220" t="inlineStr">
        <is>
          <t>KIL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46251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45797</v>
      </c>
      <c r="E222" s="1" t="n">
        <v>46251</v>
      </c>
      <c r="F222" t="inlineStr">
        <is>
          <t>VÄRMLANDS LÄN</t>
        </is>
      </c>
      <c r="G222" t="inlineStr">
        <is>
          <t>KIL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46251</v>
      </c>
      <c r="F223" t="inlineStr">
        <is>
          <t>VÄRMLANDS LÄN</t>
        </is>
      </c>
      <c r="G223" t="inlineStr">
        <is>
          <t>KIL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46251</v>
      </c>
      <c r="F224" t="inlineStr">
        <is>
          <t>VÄRMLANDS LÄN</t>
        </is>
      </c>
      <c r="G224" t="inlineStr">
        <is>
          <t>KIL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46251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45397</v>
      </c>
      <c r="E226" s="1" t="n">
        <v>46251</v>
      </c>
      <c r="F226" t="inlineStr">
        <is>
          <t>VÄRMLANDS LÄN</t>
        </is>
      </c>
      <c r="G226" t="inlineStr">
        <is>
          <t>KIL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45538</v>
      </c>
      <c r="E227" s="1" t="n">
        <v>46251</v>
      </c>
      <c r="F227" t="inlineStr">
        <is>
          <t>VÄRMLANDS LÄN</t>
        </is>
      </c>
      <c r="G227" t="inlineStr">
        <is>
          <t>KIL</t>
        </is>
      </c>
      <c r="I227" t="n">
        <v>17.9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46251</v>
      </c>
      <c r="F228" t="inlineStr">
        <is>
          <t>VÄRMLANDS LÄN</t>
        </is>
      </c>
      <c r="G228" t="inlineStr">
        <is>
          <t>KIL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46251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46251</v>
      </c>
      <c r="F230" t="inlineStr">
        <is>
          <t>VÄRMLANDS LÄN</t>
        </is>
      </c>
      <c r="G230" t="inlineStr">
        <is>
          <t>KIL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45287</v>
      </c>
      <c r="E231" s="1" t="n">
        <v>46251</v>
      </c>
      <c r="F231" t="inlineStr">
        <is>
          <t>VÄRMLANDS LÄN</t>
        </is>
      </c>
      <c r="G231" t="inlineStr">
        <is>
          <t>KIL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46251</v>
      </c>
      <c r="F232" t="inlineStr">
        <is>
          <t>VÄRMLANDS LÄN</t>
        </is>
      </c>
      <c r="G232" t="inlineStr">
        <is>
          <t>KIL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46251</v>
      </c>
      <c r="F233" t="inlineStr">
        <is>
          <t>VÄRMLANDS LÄN</t>
        </is>
      </c>
      <c r="G233" t="inlineStr">
        <is>
          <t>KIL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46251</v>
      </c>
      <c r="F234" t="inlineStr">
        <is>
          <t>VÄRMLANDS LÄN</t>
        </is>
      </c>
      <c r="G234" t="inlineStr">
        <is>
          <t>KIL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46251</v>
      </c>
      <c r="F235" t="inlineStr">
        <is>
          <t>VÄRMLANDS LÄN</t>
        </is>
      </c>
      <c r="G235" t="inlineStr">
        <is>
          <t>KIL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46251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46251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44995</v>
      </c>
      <c r="E238" s="1" t="n">
        <v>46251</v>
      </c>
      <c r="F238" t="inlineStr">
        <is>
          <t>VÄRMLANDS LÄN</t>
        </is>
      </c>
      <c r="G238" t="inlineStr">
        <is>
          <t>KIL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46251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46251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44655</v>
      </c>
      <c r="E241" s="1" t="n">
        <v>46251</v>
      </c>
      <c r="F241" t="inlineStr">
        <is>
          <t>VÄRMLANDS LÄN</t>
        </is>
      </c>
      <c r="G241" t="inlineStr">
        <is>
          <t>KIL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46251</v>
      </c>
      <c r="F242" t="inlineStr">
        <is>
          <t>VÄRMLANDS LÄN</t>
        </is>
      </c>
      <c r="G242" t="inlineStr">
        <is>
          <t>KIL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46251</v>
      </c>
      <c r="F243" t="inlineStr">
        <is>
          <t>VÄRMLANDS LÄN</t>
        </is>
      </c>
      <c r="G243" t="inlineStr">
        <is>
          <t>KIL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45484</v>
      </c>
      <c r="E244" s="1" t="n">
        <v>46251</v>
      </c>
      <c r="F244" t="inlineStr">
        <is>
          <t>VÄRMLANDS LÄN</t>
        </is>
      </c>
      <c r="G244" t="inlineStr">
        <is>
          <t>KIL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46251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46251</v>
      </c>
      <c r="F246" t="inlineStr">
        <is>
          <t>VÄRMLANDS LÄN</t>
        </is>
      </c>
      <c r="G246" t="inlineStr">
        <is>
          <t>KIL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46251</v>
      </c>
      <c r="F247" t="inlineStr">
        <is>
          <t>VÄRMLANDS LÄN</t>
        </is>
      </c>
      <c r="G247" t="inlineStr">
        <is>
          <t>KIL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45501</v>
      </c>
      <c r="E248" s="1" t="n">
        <v>46251</v>
      </c>
      <c r="F248" t="inlineStr">
        <is>
          <t>VÄRMLANDS LÄN</t>
        </is>
      </c>
      <c r="G248" t="inlineStr">
        <is>
          <t>KIL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45501</v>
      </c>
      <c r="E249" s="1" t="n">
        <v>46251</v>
      </c>
      <c r="F249" t="inlineStr">
        <is>
          <t>VÄRMLANDS LÄN</t>
        </is>
      </c>
      <c r="G249" t="inlineStr">
        <is>
          <t>KIL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46251</v>
      </c>
      <c r="F250" t="inlineStr">
        <is>
          <t>VÄRMLANDS LÄN</t>
        </is>
      </c>
      <c r="G250" t="inlineStr">
        <is>
          <t>KIL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46251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46251</v>
      </c>
      <c r="F252" t="inlineStr">
        <is>
          <t>VÄRMLANDS LÄN</t>
        </is>
      </c>
      <c r="G252" t="inlineStr">
        <is>
          <t>KIL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45207</v>
      </c>
      <c r="E253" s="1" t="n">
        <v>46251</v>
      </c>
      <c r="F253" t="inlineStr">
        <is>
          <t>VÄRMLANDS LÄN</t>
        </is>
      </c>
      <c r="G253" t="inlineStr">
        <is>
          <t>KIL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45642</v>
      </c>
      <c r="E254" s="1" t="n">
        <v>46251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46251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45704</v>
      </c>
      <c r="E256" s="1" t="n">
        <v>46251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44722</v>
      </c>
      <c r="E257" s="1" t="n">
        <v>46251</v>
      </c>
      <c r="F257" t="inlineStr">
        <is>
          <t>VÄRMLANDS LÄN</t>
        </is>
      </c>
      <c r="G257" t="inlineStr">
        <is>
          <t>KIL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46251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27638-2026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46190</v>
      </c>
      <c r="E259" s="1" t="n">
        <v>46251</v>
      </c>
      <c r="F259" t="inlineStr">
        <is>
          <t>VÄRMLANDS LÄN</t>
        </is>
      </c>
      <c r="G259" t="inlineStr">
        <is>
          <t>KIL</t>
        </is>
      </c>
      <c r="H259" t="inlineStr">
        <is>
          <t>Kyrkan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46251</v>
      </c>
      <c r="F260" t="inlineStr">
        <is>
          <t>VÄRMLANDS LÄN</t>
        </is>
      </c>
      <c r="G260" t="inlineStr">
        <is>
          <t>KIL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44735</v>
      </c>
      <c r="E261" s="1" t="n">
        <v>46251</v>
      </c>
      <c r="F261" t="inlineStr">
        <is>
          <t>VÄRMLANDS LÄN</t>
        </is>
      </c>
      <c r="G261" t="inlineStr">
        <is>
          <t>KIL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46251</v>
      </c>
      <c r="F262" t="inlineStr">
        <is>
          <t>VÄRMLANDS LÄN</t>
        </is>
      </c>
      <c r="G262" t="inlineStr">
        <is>
          <t>KIL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46251</v>
      </c>
      <c r="F263" t="inlineStr">
        <is>
          <t>VÄRMLANDS LÄN</t>
        </is>
      </c>
      <c r="G263" t="inlineStr">
        <is>
          <t>KIL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46251</v>
      </c>
      <c r="F264" t="inlineStr">
        <is>
          <t>VÄRMLANDS LÄN</t>
        </is>
      </c>
      <c r="G264" t="inlineStr">
        <is>
          <t>KIL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46251</v>
      </c>
      <c r="F265" t="inlineStr">
        <is>
          <t>VÄRMLANDS LÄN</t>
        </is>
      </c>
      <c r="G265" t="inlineStr">
        <is>
          <t>KIL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46251</v>
      </c>
      <c r="F266" t="inlineStr">
        <is>
          <t>VÄRMLANDS LÄN</t>
        </is>
      </c>
      <c r="G266" t="inlineStr">
        <is>
          <t>KIL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71728-2021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46251</v>
      </c>
      <c r="F267" t="inlineStr">
        <is>
          <t>VÄRMLANDS LÄN</t>
        </is>
      </c>
      <c r="G267" t="inlineStr">
        <is>
          <t>KIL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46251</v>
      </c>
      <c r="F268" t="inlineStr">
        <is>
          <t>VÄRMLANDS LÄN</t>
        </is>
      </c>
      <c r="G268" t="inlineStr">
        <is>
          <t>KIL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46251</v>
      </c>
      <c r="F269" t="inlineStr">
        <is>
          <t>VÄRMLANDS LÄN</t>
        </is>
      </c>
      <c r="G269" t="inlineStr">
        <is>
          <t>KIL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46251</v>
      </c>
      <c r="F270" t="inlineStr">
        <is>
          <t>VÄRMLANDS LÄN</t>
        </is>
      </c>
      <c r="G270" t="inlineStr">
        <is>
          <t>KIL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46251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46251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46251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46251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46251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46251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46251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46251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46251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2026-08-17T01:45:36Z</dcterms:created>
  <dcterms:modified xmlns:dcterms="http://purl.org/dc/terms/" xmlns:xsi="http://www.w3.org/2001/XMLSchema-instance" xsi:type="dcterms:W3CDTF">2026-08-17T01:45:37Z</dcterms:modified>
</cp:coreProperties>
</file>