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46314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46314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46314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46314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46314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56642-2022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44893</v>
      </c>
      <c r="E11" s="1" t="n">
        <v>46314</v>
      </c>
      <c r="F11" t="inlineStr">
        <is>
          <t>VÄRMLANDS LÄN</t>
        </is>
      </c>
      <c r="G11" t="inlineStr">
        <is>
          <t>KIL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trolldruva</t>
        </is>
      </c>
      <c r="W11">
        <f>HYPERLINK("https://klasma.github.io/Logging_1715/artfynd/A 56642-2022 artfynd.xlsx", "A 56642-2022")</f>
        <v/>
      </c>
      <c r="X11">
        <f>HYPERLINK("https://klasma.github.io/Logging_1715/kartor/A 56642-2022 karta.png", "A 56642-2022")</f>
        <v/>
      </c>
      <c r="Y11">
        <f>HYPERLINK("https://klasma.github.io/Logging_1715/kartor_geotiff/A 56642-2022 georefererad karta.tif", "A 56642-2022")</f>
        <v/>
      </c>
      <c r="AA11">
        <f>HYPERLINK("https://klasma.github.io/Logging_1715/klagomål/A 56642-2022 FSC-klagomål.docx", "A 56642-2022")</f>
        <v/>
      </c>
      <c r="AB11">
        <f>HYPERLINK("https://klasma.github.io/Logging_1715/klagomålsmail/A 56642-2022 FSC-klagomål mail.docx", "A 56642-2022")</f>
        <v/>
      </c>
      <c r="AC11">
        <f>HYPERLINK("https://klasma.github.io/Logging_1715/tillsyn/A 56642-2022 tillsynsbegäran.docx", "A 56642-2022")</f>
        <v/>
      </c>
      <c r="AD11">
        <f>HYPERLINK("https://klasma.github.io/Logging_1715/tillsynsmail/A 56642-2022 tillsynsbegäran mail.docx", "A 56642-2022")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46314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46314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46314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46314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46314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46314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40853-2024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45558</v>
      </c>
      <c r="E18" s="1" t="n">
        <v>46314</v>
      </c>
      <c r="F18" t="inlineStr">
        <is>
          <t>VÄRMLANDS LÄN</t>
        </is>
      </c>
      <c r="G18" t="inlineStr">
        <is>
          <t>KIL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40853-2024 artfynd.xlsx", "A 40853-2024")</f>
        <v/>
      </c>
      <c r="X18">
        <f>HYPERLINK("https://klasma.github.io/Logging_1715/kartor/A 40853-2024 karta.png", "A 40853-2024")</f>
        <v/>
      </c>
      <c r="Y18">
        <f>HYPERLINK("https://klasma.github.io/Logging_1715/kartor_geotiff/A 40853-2024 georefererad karta.tif", "A 40853-2024")</f>
        <v/>
      </c>
      <c r="AA18">
        <f>HYPERLINK("https://klasma.github.io/Logging_1715/klagomål/A 40853-2024 FSC-klagomål.docx", "A 40853-2024")</f>
        <v/>
      </c>
      <c r="AB18">
        <f>HYPERLINK("https://klasma.github.io/Logging_1715/klagomålsmail/A 40853-2024 FSC-klagomål mail.docx", "A 40853-2024")</f>
        <v/>
      </c>
      <c r="AC18">
        <f>HYPERLINK("https://klasma.github.io/Logging_1715/tillsyn/A 40853-2024 tillsynsbegäran.docx", "A 40853-2024")</f>
        <v/>
      </c>
      <c r="AD18">
        <f>HYPERLINK("https://klasma.github.io/Logging_1715/tillsynsmail/A 40853-2024 tillsynsbegäran mail.docx", "A 40853-2024")</f>
        <v/>
      </c>
    </row>
    <row r="19" ht="15" customHeight="1">
      <c r="A19" t="inlineStr">
        <is>
          <t>A 35453-2024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45531</v>
      </c>
      <c r="E19" s="1" t="n">
        <v>46314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HYPERLINK("https://klasma.github.io/Logging_1715/artfynd/A 35453-2024 artfynd.xlsx", "A 35453-2024")</f>
        <v/>
      </c>
      <c r="X19">
        <f>HYPERLINK("https://klasma.github.io/Logging_1715/kartor/A 35453-2024 karta.png", "A 35453-2024")</f>
        <v/>
      </c>
      <c r="Y19">
        <f>HYPERLINK("https://klasma.github.io/Logging_1715/kartor_geotiff/A 35453-2024 georefererad karta.tif", "A 35453-2024")</f>
        <v/>
      </c>
      <c r="AA19">
        <f>HYPERLINK("https://klasma.github.io/Logging_1715/klagomål/A 35453-2024 FSC-klagomål.docx", "A 35453-2024")</f>
        <v/>
      </c>
      <c r="AB19">
        <f>HYPERLINK("https://klasma.github.io/Logging_1715/klagomålsmail/A 35453-2024 FSC-klagomål mail.docx", "A 35453-2024")</f>
        <v/>
      </c>
      <c r="AC19">
        <f>HYPERLINK("https://klasma.github.io/Logging_1715/tillsyn/A 35453-2024 tillsynsbegäran.docx", "A 35453-2024")</f>
        <v/>
      </c>
      <c r="AD19">
        <f>HYPERLINK("https://klasma.github.io/Logging_1715/tillsynsmail/A 35453-2024 tillsynsbegäran mail.docx", "A 35453-2024")</f>
        <v/>
      </c>
      <c r="AE19">
        <f>HYPERLINK("https://klasma.github.io/Logging_1715/fåglar/A 35453-2024 prioriterade fågelarter.docx", "A 35453-2024")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46314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46314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46314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46314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46314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46314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46314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46314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46314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46314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46314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46314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46314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46314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46314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46314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46314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46314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46314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46314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46314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46314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46314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46314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46314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46314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46314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46314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46314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46314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46314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46314</v>
      </c>
      <c r="F51" t="inlineStr">
        <is>
          <t>VÄRMLANDS LÄN</t>
        </is>
      </c>
      <c r="G51" t="inlineStr">
        <is>
          <t>KIL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46314</v>
      </c>
      <c r="F52" t="inlineStr">
        <is>
          <t>VÄRMLANDS LÄN</t>
        </is>
      </c>
      <c r="G52" t="inlineStr">
        <is>
          <t>KIL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44927</v>
      </c>
      <c r="E53" s="1" t="n">
        <v>46314</v>
      </c>
      <c r="F53" t="inlineStr">
        <is>
          <t>VÄRMLANDS LÄN</t>
        </is>
      </c>
      <c r="G53" t="inlineStr">
        <is>
          <t>KIL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14651-2024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45397</v>
      </c>
      <c r="E54" s="1" t="n">
        <v>46314</v>
      </c>
      <c r="F54" t="inlineStr">
        <is>
          <t>VÄRMLANDS LÄN</t>
        </is>
      </c>
      <c r="G54" t="inlineStr">
        <is>
          <t>KIL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46314</v>
      </c>
      <c r="F55" t="inlineStr">
        <is>
          <t>VÄRMLANDS LÄN</t>
        </is>
      </c>
      <c r="G55" t="inlineStr">
        <is>
          <t>KIL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46314</v>
      </c>
      <c r="F56" t="inlineStr">
        <is>
          <t>VÄRMLANDS LÄN</t>
        </is>
      </c>
      <c r="G56" t="inlineStr">
        <is>
          <t>KIL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46314</v>
      </c>
      <c r="F57" t="inlineStr">
        <is>
          <t>VÄRMLANDS LÄN</t>
        </is>
      </c>
      <c r="G57" t="inlineStr">
        <is>
          <t>KIL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45501</v>
      </c>
      <c r="E58" s="1" t="n">
        <v>46314</v>
      </c>
      <c r="F58" t="inlineStr">
        <is>
          <t>VÄRMLANDS LÄN</t>
        </is>
      </c>
      <c r="G58" t="inlineStr">
        <is>
          <t>KIL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45501</v>
      </c>
      <c r="E59" s="1" t="n">
        <v>46314</v>
      </c>
      <c r="F59" t="inlineStr">
        <is>
          <t>VÄRMLANDS LÄN</t>
        </is>
      </c>
      <c r="G59" t="inlineStr">
        <is>
          <t>KIL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46314</v>
      </c>
      <c r="F60" t="inlineStr">
        <is>
          <t>VÄRMLANDS LÄN</t>
        </is>
      </c>
      <c r="G60" t="inlineStr">
        <is>
          <t>KIL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46314</v>
      </c>
      <c r="F61" t="inlineStr">
        <is>
          <t>VÄRMLANDS LÄN</t>
        </is>
      </c>
      <c r="G61" t="inlineStr">
        <is>
          <t>KIL</t>
        </is>
      </c>
      <c r="I61" t="n">
        <v>17.9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44803</v>
      </c>
      <c r="E62" s="1" t="n">
        <v>46314</v>
      </c>
      <c r="F62" t="inlineStr">
        <is>
          <t>VÄRMLANDS LÄN</t>
        </is>
      </c>
      <c r="G62" t="inlineStr">
        <is>
          <t>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46314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46314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46314</v>
      </c>
      <c r="F65" t="inlineStr">
        <is>
          <t>VÄRMLANDS LÄN</t>
        </is>
      </c>
      <c r="G65" t="inlineStr">
        <is>
          <t>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46314</v>
      </c>
      <c r="F66" t="inlineStr">
        <is>
          <t>VÄRMLANDS LÄN</t>
        </is>
      </c>
      <c r="G66" t="inlineStr">
        <is>
          <t>KIL</t>
        </is>
      </c>
      <c r="H66" t="inlineStr">
        <is>
          <t>Kyrkan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46314</v>
      </c>
      <c r="F67" t="inlineStr">
        <is>
          <t>VÄRMLANDS LÄN</t>
        </is>
      </c>
      <c r="G67" t="inlineStr">
        <is>
          <t>KIL</t>
        </is>
      </c>
      <c r="H67" t="inlineStr">
        <is>
          <t>Kyrkan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46314</v>
      </c>
      <c r="F68" t="inlineStr">
        <is>
          <t>VÄRMLANDS LÄN</t>
        </is>
      </c>
      <c r="G68" t="inlineStr">
        <is>
          <t>KIL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46314</v>
      </c>
      <c r="F69" t="inlineStr">
        <is>
          <t>VÄRMLANDS LÄN</t>
        </is>
      </c>
      <c r="G69" t="inlineStr">
        <is>
          <t>KIL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45531</v>
      </c>
      <c r="E70" s="1" t="n">
        <v>46314</v>
      </c>
      <c r="F70" t="inlineStr">
        <is>
          <t>VÄRMLANDS LÄN</t>
        </is>
      </c>
      <c r="G70" t="inlineStr">
        <is>
          <t>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17806-2023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46314</v>
      </c>
      <c r="F71" t="inlineStr">
        <is>
          <t>VÄRMLANDS LÄN</t>
        </is>
      </c>
      <c r="G71" t="inlineStr">
        <is>
          <t>KIL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45568</v>
      </c>
      <c r="E72" s="1" t="n">
        <v>46314</v>
      </c>
      <c r="F72" t="inlineStr">
        <is>
          <t>VÄRMLANDS LÄN</t>
        </is>
      </c>
      <c r="G72" t="inlineStr">
        <is>
          <t>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46314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46314</v>
      </c>
      <c r="F74" t="inlineStr">
        <is>
          <t>VÄRMLANDS LÄN</t>
        </is>
      </c>
      <c r="G74" t="inlineStr">
        <is>
          <t>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46314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38835-2024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46314</v>
      </c>
      <c r="F76" t="inlineStr">
        <is>
          <t>VÄRMLANDS LÄN</t>
        </is>
      </c>
      <c r="G76" t="inlineStr">
        <is>
          <t>KIL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45683</v>
      </c>
      <c r="E77" s="1" t="n">
        <v>46314</v>
      </c>
      <c r="F77" t="inlineStr">
        <is>
          <t>VÄRMLANDS LÄN</t>
        </is>
      </c>
      <c r="G77" t="inlineStr">
        <is>
          <t>KIL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45310</v>
      </c>
      <c r="E78" s="1" t="n">
        <v>46314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46314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46314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46314</v>
      </c>
      <c r="F81" t="inlineStr">
        <is>
          <t>VÄRMLANDS LÄN</t>
        </is>
      </c>
      <c r="G81" t="inlineStr">
        <is>
          <t>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46314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46314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45287</v>
      </c>
      <c r="E84" s="1" t="n">
        <v>46314</v>
      </c>
      <c r="F84" t="inlineStr">
        <is>
          <t>VÄRMLANDS LÄN</t>
        </is>
      </c>
      <c r="G84" t="inlineStr">
        <is>
          <t>KIL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46314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45420</v>
      </c>
      <c r="E86" s="1" t="n">
        <v>46314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41074-2022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46314</v>
      </c>
      <c r="F87" t="inlineStr">
        <is>
          <t>VÄRMLANDS LÄN</t>
        </is>
      </c>
      <c r="G87" t="inlineStr">
        <is>
          <t>KIL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46139</v>
      </c>
      <c r="E88" s="1" t="n">
        <v>46314</v>
      </c>
      <c r="F88" t="inlineStr">
        <is>
          <t>VÄRMLANDS LÄN</t>
        </is>
      </c>
      <c r="G88" t="inlineStr">
        <is>
          <t>KIL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46314</v>
      </c>
      <c r="F89" t="inlineStr">
        <is>
          <t>VÄRMLANDS LÄN</t>
        </is>
      </c>
      <c r="G89" t="inlineStr">
        <is>
          <t>KIL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45579</v>
      </c>
      <c r="E90" s="1" t="n">
        <v>46314</v>
      </c>
      <c r="F90" t="inlineStr">
        <is>
          <t>VÄRMLANDS LÄN</t>
        </is>
      </c>
      <c r="G90" t="inlineStr">
        <is>
          <t>KIL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46314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45309</v>
      </c>
      <c r="E92" s="1" t="n">
        <v>46314</v>
      </c>
      <c r="F92" t="inlineStr">
        <is>
          <t>VÄRMLANDS LÄN</t>
        </is>
      </c>
      <c r="G92" t="inlineStr">
        <is>
          <t>KIL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46314</v>
      </c>
      <c r="F93" t="inlineStr">
        <is>
          <t>VÄRMLANDS LÄN</t>
        </is>
      </c>
      <c r="G93" t="inlineStr">
        <is>
          <t>KIL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46314</v>
      </c>
      <c r="F94" t="inlineStr">
        <is>
          <t>VÄRMLANDS LÄN</t>
        </is>
      </c>
      <c r="G94" t="inlineStr">
        <is>
          <t>KIL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46314</v>
      </c>
      <c r="F95" t="inlineStr">
        <is>
          <t>VÄRMLANDS LÄN</t>
        </is>
      </c>
      <c r="G95" t="inlineStr">
        <is>
          <t>KIL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46314</v>
      </c>
      <c r="F96" t="inlineStr">
        <is>
          <t>VÄRMLANDS LÄN</t>
        </is>
      </c>
      <c r="G96" t="inlineStr">
        <is>
          <t>KIL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46314</v>
      </c>
      <c r="F97" t="inlineStr">
        <is>
          <t>VÄRMLANDS LÄN</t>
        </is>
      </c>
      <c r="G97" t="inlineStr">
        <is>
          <t>KIL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46314</v>
      </c>
      <c r="F98" t="inlineStr">
        <is>
          <t>VÄRMLANDS LÄN</t>
        </is>
      </c>
      <c r="G98" t="inlineStr">
        <is>
          <t>KIL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46314</v>
      </c>
      <c r="F99" t="inlineStr">
        <is>
          <t>VÄRMLANDS LÄN</t>
        </is>
      </c>
      <c r="G99" t="inlineStr">
        <is>
          <t>KIL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46314</v>
      </c>
      <c r="F100" t="inlineStr">
        <is>
          <t>VÄRMLANDS LÄN</t>
        </is>
      </c>
      <c r="G100" t="inlineStr">
        <is>
          <t>KIL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46314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46314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46314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46314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46314</v>
      </c>
      <c r="F105" t="inlineStr">
        <is>
          <t>VÄRMLANDS LÄN</t>
        </is>
      </c>
      <c r="G105" t="inlineStr">
        <is>
          <t>KIL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46314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46314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46314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46314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46314</v>
      </c>
      <c r="F110" t="inlineStr">
        <is>
          <t>VÄRMLANDS LÄN</t>
        </is>
      </c>
      <c r="G110" t="inlineStr">
        <is>
          <t>KIL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46314</v>
      </c>
      <c r="F111" t="inlineStr">
        <is>
          <t>VÄRMLANDS LÄN</t>
        </is>
      </c>
      <c r="G111" t="inlineStr">
        <is>
          <t>KIL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46314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46314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64374-2023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46314</v>
      </c>
      <c r="F114" t="inlineStr">
        <is>
          <t>VÄRMLANDS LÄN</t>
        </is>
      </c>
      <c r="G114" t="inlineStr">
        <is>
          <t>KIL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46314</v>
      </c>
      <c r="F115" t="inlineStr">
        <is>
          <t>VÄRMLANDS LÄN</t>
        </is>
      </c>
      <c r="G115" t="inlineStr">
        <is>
          <t>KIL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44680</v>
      </c>
      <c r="E116" s="1" t="n">
        <v>46314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46314</v>
      </c>
      <c r="F117" t="inlineStr">
        <is>
          <t>VÄRMLANDS LÄN</t>
        </is>
      </c>
      <c r="G117" t="inlineStr">
        <is>
          <t>KIL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45953</v>
      </c>
      <c r="E118" s="1" t="n">
        <v>46314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46314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46314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46314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46314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45349</v>
      </c>
      <c r="E123" s="1" t="n">
        <v>46314</v>
      </c>
      <c r="F123" t="inlineStr">
        <is>
          <t>VÄRMLANDS LÄN</t>
        </is>
      </c>
      <c r="G123" t="inlineStr">
        <is>
          <t>KIL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46314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46314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46314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46314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46314</v>
      </c>
      <c r="F128" t="inlineStr">
        <is>
          <t>VÄRMLANDS LÄN</t>
        </is>
      </c>
      <c r="G128" t="inlineStr">
        <is>
          <t>KIL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46314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46162</v>
      </c>
      <c r="E130" s="1" t="n">
        <v>46314</v>
      </c>
      <c r="F130" t="inlineStr">
        <is>
          <t>VÄRMLANDS LÄN</t>
        </is>
      </c>
      <c r="G130" t="inlineStr">
        <is>
          <t>KIL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46314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46314</v>
      </c>
      <c r="F132" t="inlineStr">
        <is>
          <t>VÄRMLANDS LÄN</t>
        </is>
      </c>
      <c r="G132" t="inlineStr">
        <is>
          <t>KIL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46314</v>
      </c>
      <c r="F133" t="inlineStr">
        <is>
          <t>VÄRMLANDS LÄN</t>
        </is>
      </c>
      <c r="G133" t="inlineStr">
        <is>
          <t>KIL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45640</v>
      </c>
      <c r="E134" s="1" t="n">
        <v>46314</v>
      </c>
      <c r="F134" t="inlineStr">
        <is>
          <t>VÄRMLANDS LÄN</t>
        </is>
      </c>
      <c r="G134" t="inlineStr">
        <is>
          <t>KIL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46314</v>
      </c>
      <c r="F135" t="inlineStr">
        <is>
          <t>VÄRMLANDS LÄN</t>
        </is>
      </c>
      <c r="G135" t="inlineStr">
        <is>
          <t>KIL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46314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46314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46314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46314</v>
      </c>
      <c r="F139" t="inlineStr">
        <is>
          <t>VÄRMLANDS LÄN</t>
        </is>
      </c>
      <c r="G139" t="inlineStr">
        <is>
          <t>KIL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46314</v>
      </c>
      <c r="F140" t="inlineStr">
        <is>
          <t>VÄRMLANDS LÄN</t>
        </is>
      </c>
      <c r="G140" t="inlineStr">
        <is>
          <t>KIL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46314</v>
      </c>
      <c r="F141" t="inlineStr">
        <is>
          <t>VÄRMLANDS LÄN</t>
        </is>
      </c>
      <c r="G141" t="inlineStr">
        <is>
          <t>KIL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46314</v>
      </c>
      <c r="F142" t="inlineStr">
        <is>
          <t>VÄRMLANDS LÄN</t>
        </is>
      </c>
      <c r="G142" t="inlineStr">
        <is>
          <t>KIL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46314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46314</v>
      </c>
      <c r="F144" t="inlineStr">
        <is>
          <t>VÄRMLANDS LÄN</t>
        </is>
      </c>
      <c r="G144" t="inlineStr">
        <is>
          <t>KIL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46314</v>
      </c>
      <c r="F145" t="inlineStr">
        <is>
          <t>VÄRMLANDS LÄN</t>
        </is>
      </c>
      <c r="G145" t="inlineStr">
        <is>
          <t>KIL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45525</v>
      </c>
      <c r="E146" s="1" t="n">
        <v>46314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46314</v>
      </c>
      <c r="F147" t="inlineStr">
        <is>
          <t>VÄRMLANDS LÄN</t>
        </is>
      </c>
      <c r="G147" t="inlineStr">
        <is>
          <t>KIL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45404</v>
      </c>
      <c r="E148" s="1" t="n">
        <v>46314</v>
      </c>
      <c r="F148" t="inlineStr">
        <is>
          <t>VÄRMLANDS LÄN</t>
        </is>
      </c>
      <c r="G148" t="inlineStr">
        <is>
          <t>KIL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73251-2021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46314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45399</v>
      </c>
      <c r="E150" s="1" t="n">
        <v>46314</v>
      </c>
      <c r="F150" t="inlineStr">
        <is>
          <t>VÄRMLANDS LÄN</t>
        </is>
      </c>
      <c r="G150" t="inlineStr">
        <is>
          <t>KIL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45399</v>
      </c>
      <c r="E151" s="1" t="n">
        <v>46314</v>
      </c>
      <c r="F151" t="inlineStr">
        <is>
          <t>VÄRMLANDS LÄN</t>
        </is>
      </c>
      <c r="G151" t="inlineStr">
        <is>
          <t>KIL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46314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44623</v>
      </c>
      <c r="E153" s="1" t="n">
        <v>46314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46314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46314</v>
      </c>
      <c r="F155" t="inlineStr">
        <is>
          <t>VÄRMLANDS LÄN</t>
        </is>
      </c>
      <c r="G155" t="inlineStr">
        <is>
          <t>KIL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45694</v>
      </c>
      <c r="E156" s="1" t="n">
        <v>46314</v>
      </c>
      <c r="F156" t="inlineStr">
        <is>
          <t>VÄRMLANDS LÄN</t>
        </is>
      </c>
      <c r="G156" t="inlineStr">
        <is>
          <t>KIL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46314</v>
      </c>
      <c r="F157" t="inlineStr">
        <is>
          <t>VÄRMLANDS LÄN</t>
        </is>
      </c>
      <c r="G157" t="inlineStr">
        <is>
          <t>KIL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46314</v>
      </c>
      <c r="F158" t="inlineStr">
        <is>
          <t>VÄRMLANDS LÄN</t>
        </is>
      </c>
      <c r="G158" t="inlineStr">
        <is>
          <t>KIL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46314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46314</v>
      </c>
      <c r="F160" t="inlineStr">
        <is>
          <t>VÄRMLANDS LÄN</t>
        </is>
      </c>
      <c r="G160" t="inlineStr">
        <is>
          <t>KIL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46314</v>
      </c>
      <c r="F161" t="inlineStr">
        <is>
          <t>VÄRMLANDS LÄN</t>
        </is>
      </c>
      <c r="G161" t="inlineStr">
        <is>
          <t>KIL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46314</v>
      </c>
      <c r="F162" t="inlineStr">
        <is>
          <t>VÄRMLANDS LÄN</t>
        </is>
      </c>
      <c r="G162" t="inlineStr">
        <is>
          <t>KIL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46314</v>
      </c>
      <c r="F163" t="inlineStr">
        <is>
          <t>VÄRMLANDS LÄN</t>
        </is>
      </c>
      <c r="G163" t="inlineStr">
        <is>
          <t>KIL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46314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45287</v>
      </c>
      <c r="E165" s="1" t="n">
        <v>46314</v>
      </c>
      <c r="F165" t="inlineStr">
        <is>
          <t>VÄRMLANDS LÄN</t>
        </is>
      </c>
      <c r="G165" t="inlineStr">
        <is>
          <t>KIL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44927</v>
      </c>
      <c r="E166" s="1" t="n">
        <v>46314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46314</v>
      </c>
      <c r="F167" t="inlineStr">
        <is>
          <t>VÄRMLANDS LÄN</t>
        </is>
      </c>
      <c r="G167" t="inlineStr">
        <is>
          <t>KIL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46314</v>
      </c>
      <c r="F168" t="inlineStr">
        <is>
          <t>VÄRMLANDS LÄN</t>
        </is>
      </c>
      <c r="G168" t="inlineStr">
        <is>
          <t>KIL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46314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46314</v>
      </c>
      <c r="F170" t="inlineStr">
        <is>
          <t>VÄRMLANDS LÄN</t>
        </is>
      </c>
      <c r="G170" t="inlineStr">
        <is>
          <t>KIL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46314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27638-2026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46190</v>
      </c>
      <c r="E172" s="1" t="n">
        <v>46314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44941</v>
      </c>
      <c r="E173" s="1" t="n">
        <v>46314</v>
      </c>
      <c r="F173" t="inlineStr">
        <is>
          <t>VÄRMLANDS LÄN</t>
        </is>
      </c>
      <c r="G173" t="inlineStr">
        <is>
          <t>KIL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46314</v>
      </c>
      <c r="F174" t="inlineStr">
        <is>
          <t>VÄRMLANDS LÄN</t>
        </is>
      </c>
      <c r="G174" t="inlineStr">
        <is>
          <t>KIL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46314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46314</v>
      </c>
      <c r="F176" t="inlineStr">
        <is>
          <t>VÄRMLANDS LÄN</t>
        </is>
      </c>
      <c r="G176" t="inlineStr">
        <is>
          <t>KIL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46314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46314</v>
      </c>
      <c r="F178" t="inlineStr">
        <is>
          <t>VÄRMLANDS LÄN</t>
        </is>
      </c>
      <c r="G178" t="inlineStr">
        <is>
          <t>KIL</t>
        </is>
      </c>
      <c r="H178" t="inlineStr">
        <is>
          <t>Kommuner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46314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46314</v>
      </c>
      <c r="F180" t="inlineStr">
        <is>
          <t>VÄRMLANDS LÄN</t>
        </is>
      </c>
      <c r="G180" t="inlineStr">
        <is>
          <t>KIL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46314</v>
      </c>
      <c r="F181" t="inlineStr">
        <is>
          <t>VÄRMLANDS LÄN</t>
        </is>
      </c>
      <c r="G181" t="inlineStr">
        <is>
          <t>KIL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46314</v>
      </c>
      <c r="F182" t="inlineStr">
        <is>
          <t>VÄRMLANDS LÄN</t>
        </is>
      </c>
      <c r="G182" t="inlineStr">
        <is>
          <t>KIL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46314</v>
      </c>
      <c r="F183" t="inlineStr">
        <is>
          <t>VÄRMLANDS LÄN</t>
        </is>
      </c>
      <c r="G183" t="inlineStr">
        <is>
          <t>KIL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46314</v>
      </c>
      <c r="F184" t="inlineStr">
        <is>
          <t>VÄRMLANDS LÄN</t>
        </is>
      </c>
      <c r="G184" t="inlineStr">
        <is>
          <t>KIL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46314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46314</v>
      </c>
      <c r="F186" t="inlineStr">
        <is>
          <t>VÄRMLANDS LÄN</t>
        </is>
      </c>
      <c r="G186" t="inlineStr">
        <is>
          <t>KIL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71728-2021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46314</v>
      </c>
      <c r="F187" t="inlineStr">
        <is>
          <t>VÄRMLANDS LÄN</t>
        </is>
      </c>
      <c r="G187" t="inlineStr">
        <is>
          <t>KIL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46314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46314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46314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46314</v>
      </c>
      <c r="F191" t="inlineStr">
        <is>
          <t>VÄRMLANDS LÄN</t>
        </is>
      </c>
      <c r="G191" t="inlineStr">
        <is>
          <t>KIL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46314</v>
      </c>
      <c r="F192" t="inlineStr">
        <is>
          <t>VÄRMLANDS LÄN</t>
        </is>
      </c>
      <c r="G192" t="inlineStr">
        <is>
          <t>KIL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46314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46314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29698-2024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45484</v>
      </c>
      <c r="E195" s="1" t="n">
        <v>46314</v>
      </c>
      <c r="F195" t="inlineStr">
        <is>
          <t>VÄRMLANDS LÄN</t>
        </is>
      </c>
      <c r="G195" t="inlineStr">
        <is>
          <t>KIL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46314</v>
      </c>
      <c r="F196" t="inlineStr">
        <is>
          <t>VÄRMLANDS LÄN</t>
        </is>
      </c>
      <c r="G196" t="inlineStr">
        <is>
          <t>KIL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46314</v>
      </c>
      <c r="F197" t="inlineStr">
        <is>
          <t>VÄRMLANDS LÄN</t>
        </is>
      </c>
      <c r="G197" t="inlineStr">
        <is>
          <t>KIL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46314</v>
      </c>
      <c r="F198" t="inlineStr">
        <is>
          <t>VÄRMLANDS LÄN</t>
        </is>
      </c>
      <c r="G198" t="inlineStr">
        <is>
          <t>KIL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46314</v>
      </c>
      <c r="F199" t="inlineStr">
        <is>
          <t>VÄRMLANDS LÄN</t>
        </is>
      </c>
      <c r="G199" t="inlineStr">
        <is>
          <t>KIL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46314</v>
      </c>
      <c r="F200" t="inlineStr">
        <is>
          <t>VÄRMLANDS LÄN</t>
        </is>
      </c>
      <c r="G200" t="inlineStr">
        <is>
          <t>KIL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46314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46314</v>
      </c>
      <c r="F202" t="inlineStr">
        <is>
          <t>VÄRMLANDS LÄN</t>
        </is>
      </c>
      <c r="G202" t="inlineStr">
        <is>
          <t>KIL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46314</v>
      </c>
      <c r="F203" t="inlineStr">
        <is>
          <t>VÄRMLANDS LÄN</t>
        </is>
      </c>
      <c r="G203" t="inlineStr">
        <is>
          <t>KIL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46314</v>
      </c>
      <c r="F204" t="inlineStr">
        <is>
          <t>VÄRMLANDS LÄN</t>
        </is>
      </c>
      <c r="G204" t="inlineStr">
        <is>
          <t>KIL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46314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44907</v>
      </c>
      <c r="E206" s="1" t="n">
        <v>46314</v>
      </c>
      <c r="F206" t="inlineStr">
        <is>
          <t>VÄRMLANDS LÄN</t>
        </is>
      </c>
      <c r="G206" t="inlineStr">
        <is>
          <t>KIL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46314</v>
      </c>
      <c r="F207" t="inlineStr">
        <is>
          <t>VÄRMLANDS LÄN</t>
        </is>
      </c>
      <c r="G207" t="inlineStr">
        <is>
          <t>KIL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45367</v>
      </c>
      <c r="E208" s="1" t="n">
        <v>46314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46314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72073-2021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44544</v>
      </c>
      <c r="E210" s="1" t="n">
        <v>46314</v>
      </c>
      <c r="F210" t="inlineStr">
        <is>
          <t>VÄRMLANDS LÄN</t>
        </is>
      </c>
      <c r="G210" t="inlineStr">
        <is>
          <t>KIL</t>
        </is>
      </c>
      <c r="I210" t="n">
        <v>9.6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46314</v>
      </c>
      <c r="F211" t="inlineStr">
        <is>
          <t>VÄRMLANDS LÄN</t>
        </is>
      </c>
      <c r="G211" t="inlineStr">
        <is>
          <t>KIL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46282</v>
      </c>
      <c r="E212" s="1" t="n">
        <v>46314</v>
      </c>
      <c r="F212" t="inlineStr">
        <is>
          <t>VÄRMLANDS LÄN</t>
        </is>
      </c>
      <c r="G212" t="inlineStr">
        <is>
          <t>KIL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46314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46314</v>
      </c>
      <c r="F214" t="inlineStr">
        <is>
          <t>VÄRMLANDS LÄN</t>
        </is>
      </c>
      <c r="G214" t="inlineStr">
        <is>
          <t>KIL</t>
        </is>
      </c>
      <c r="H214" t="inlineStr">
        <is>
          <t>Kyrkan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46314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46282</v>
      </c>
      <c r="E216" s="1" t="n">
        <v>46314</v>
      </c>
      <c r="F216" t="inlineStr">
        <is>
          <t>VÄRMLANDS LÄN</t>
        </is>
      </c>
      <c r="G216" t="inlineStr">
        <is>
          <t>KIL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46314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46283</v>
      </c>
      <c r="E218" s="1" t="n">
        <v>46314</v>
      </c>
      <c r="F218" t="inlineStr">
        <is>
          <t>VÄRMLANDS LÄN</t>
        </is>
      </c>
      <c r="G218" t="inlineStr">
        <is>
          <t>KIL</t>
        </is>
      </c>
      <c r="H218" t="inlineStr">
        <is>
          <t>Kommuner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45704</v>
      </c>
      <c r="E219" s="1" t="n">
        <v>46314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46314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44655</v>
      </c>
      <c r="E221" s="1" t="n">
        <v>46314</v>
      </c>
      <c r="F221" t="inlineStr">
        <is>
          <t>VÄRMLANDS LÄN</t>
        </is>
      </c>
      <c r="G221" t="inlineStr">
        <is>
          <t>KIL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46314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44487</v>
      </c>
      <c r="E223" s="1" t="n">
        <v>46314</v>
      </c>
      <c r="F223" t="inlineStr">
        <is>
          <t>VÄRMLANDS LÄN</t>
        </is>
      </c>
      <c r="G223" t="inlineStr">
        <is>
          <t>KIL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33266-2026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46246</v>
      </c>
      <c r="E224" s="1" t="n">
        <v>46314</v>
      </c>
      <c r="F224" t="inlineStr">
        <is>
          <t>VÄRMLANDS LÄN</t>
        </is>
      </c>
      <c r="G224" t="inlineStr">
        <is>
          <t>KIL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45310</v>
      </c>
      <c r="E225" s="1" t="n">
        <v>46314</v>
      </c>
      <c r="F225" t="inlineStr">
        <is>
          <t>VÄRMLANDS LÄN</t>
        </is>
      </c>
      <c r="G225" t="inlineStr">
        <is>
          <t>KIL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46314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46314</v>
      </c>
      <c r="F227" t="inlineStr">
        <is>
          <t>VÄRMLANDS LÄN</t>
        </is>
      </c>
      <c r="G227" t="inlineStr">
        <is>
          <t>KIL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46314</v>
      </c>
      <c r="F228" t="inlineStr">
        <is>
          <t>VÄRMLANDS LÄN</t>
        </is>
      </c>
      <c r="G228" t="inlineStr">
        <is>
          <t>KIL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44803</v>
      </c>
      <c r="E229" s="1" t="n">
        <v>46314</v>
      </c>
      <c r="F229" t="inlineStr">
        <is>
          <t>VÄRMLANDS LÄN</t>
        </is>
      </c>
      <c r="G229" t="inlineStr">
        <is>
          <t>KIL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46314</v>
      </c>
      <c r="F230" t="inlineStr">
        <is>
          <t>VÄRMLANDS LÄN</t>
        </is>
      </c>
      <c r="G230" t="inlineStr">
        <is>
          <t>KIL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46314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46314</v>
      </c>
      <c r="F232" t="inlineStr">
        <is>
          <t>VÄRMLANDS LÄN</t>
        </is>
      </c>
      <c r="G232" t="inlineStr">
        <is>
          <t>KIL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46314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46314</v>
      </c>
      <c r="F234" t="inlineStr">
        <is>
          <t>VÄRMLANDS LÄN</t>
        </is>
      </c>
      <c r="G234" t="inlineStr">
        <is>
          <t>KIL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46314</v>
      </c>
      <c r="F235" t="inlineStr">
        <is>
          <t>VÄRMLANDS LÄN</t>
        </is>
      </c>
      <c r="G235" t="inlineStr">
        <is>
          <t>KIL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44775</v>
      </c>
      <c r="E236" s="1" t="n">
        <v>46314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45207</v>
      </c>
      <c r="E237" s="1" t="n">
        <v>46314</v>
      </c>
      <c r="F237" t="inlineStr">
        <is>
          <t>VÄRMLANDS LÄN</t>
        </is>
      </c>
      <c r="G237" t="inlineStr">
        <is>
          <t>KIL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44565</v>
      </c>
      <c r="E238" s="1" t="n">
        <v>46314</v>
      </c>
      <c r="F238" t="inlineStr">
        <is>
          <t>VÄRMLANDS LÄN</t>
        </is>
      </c>
      <c r="G238" t="inlineStr">
        <is>
          <t>KIL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46314</v>
      </c>
      <c r="F239" t="inlineStr">
        <is>
          <t>VÄRMLANDS LÄN</t>
        </is>
      </c>
      <c r="G239" t="inlineStr">
        <is>
          <t>KIL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46314</v>
      </c>
      <c r="F240" t="inlineStr">
        <is>
          <t>VÄRMLANDS LÄN</t>
        </is>
      </c>
      <c r="G240" t="inlineStr">
        <is>
          <t>KIL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45287</v>
      </c>
      <c r="E241" s="1" t="n">
        <v>46314</v>
      </c>
      <c r="F241" t="inlineStr">
        <is>
          <t>VÄRMLANDS LÄN</t>
        </is>
      </c>
      <c r="G241" t="inlineStr">
        <is>
          <t>KIL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46314</v>
      </c>
      <c r="F242" t="inlineStr">
        <is>
          <t>VÄRMLANDS LÄN</t>
        </is>
      </c>
      <c r="G242" t="inlineStr">
        <is>
          <t>KIL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46314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46314</v>
      </c>
      <c r="F244" t="inlineStr">
        <is>
          <t>VÄRMLANDS LÄN</t>
        </is>
      </c>
      <c r="G244" t="inlineStr">
        <is>
          <t>KIL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46314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45041</v>
      </c>
      <c r="E246" s="1" t="n">
        <v>46314</v>
      </c>
      <c r="F246" t="inlineStr">
        <is>
          <t>VÄRMLANDS LÄN</t>
        </is>
      </c>
      <c r="G246" t="inlineStr">
        <is>
          <t>KIL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46314</v>
      </c>
      <c r="F247" t="inlineStr">
        <is>
          <t>VÄRMLANDS LÄN</t>
        </is>
      </c>
      <c r="G247" t="inlineStr">
        <is>
          <t>KIL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46314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46314</v>
      </c>
      <c r="F249" t="inlineStr">
        <is>
          <t>VÄRMLANDS LÄN</t>
        </is>
      </c>
      <c r="G249" t="inlineStr">
        <is>
          <t>KIL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46314</v>
      </c>
      <c r="F250" t="inlineStr">
        <is>
          <t>VÄRMLANDS LÄN</t>
        </is>
      </c>
      <c r="G250" t="inlineStr">
        <is>
          <t>KIL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46314</v>
      </c>
      <c r="F251" t="inlineStr">
        <is>
          <t>VÄRMLANDS LÄN</t>
        </is>
      </c>
      <c r="G251" t="inlineStr">
        <is>
          <t>KIL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46314</v>
      </c>
      <c r="F252" t="inlineStr">
        <is>
          <t>VÄRMLANDS LÄN</t>
        </is>
      </c>
      <c r="G252" t="inlineStr">
        <is>
          <t>KIL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46314</v>
      </c>
      <c r="F253" t="inlineStr">
        <is>
          <t>VÄRMLANDS LÄN</t>
        </is>
      </c>
      <c r="G253" t="inlineStr">
        <is>
          <t>KIL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46314</v>
      </c>
      <c r="F254" t="inlineStr">
        <is>
          <t>VÄRMLANDS LÄN</t>
        </is>
      </c>
      <c r="G254" t="inlineStr">
        <is>
          <t>KIL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46314</v>
      </c>
      <c r="F255" t="inlineStr">
        <is>
          <t>VÄRMLANDS LÄN</t>
        </is>
      </c>
      <c r="G255" t="inlineStr">
        <is>
          <t>KIL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46314</v>
      </c>
      <c r="F256" t="inlineStr">
        <is>
          <t>VÄRMLANDS LÄN</t>
        </is>
      </c>
      <c r="G256" t="inlineStr">
        <is>
          <t>KIL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4021-2022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44755</v>
      </c>
      <c r="E257" s="1" t="n">
        <v>46314</v>
      </c>
      <c r="F257" t="inlineStr">
        <is>
          <t>VÄRMLANDS LÄN</t>
        </is>
      </c>
      <c r="G257" t="inlineStr">
        <is>
          <t>KIL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3995-2024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45569</v>
      </c>
      <c r="E258" s="1" t="n">
        <v>46314</v>
      </c>
      <c r="F258" t="inlineStr">
        <is>
          <t>VÄRMLANDS LÄN</t>
        </is>
      </c>
      <c r="G258" t="inlineStr">
        <is>
          <t>KIL</t>
        </is>
      </c>
      <c r="I258" t="n">
        <v>25.3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4404-2023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46314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6966-2022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44901</v>
      </c>
      <c r="E260" s="1" t="n">
        <v>46314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37.7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4398-2023</t>
        </is>
      </c>
      <c r="B261" t="inlineStr">
        <is>
          <t>samrådsanmälan</t>
        </is>
      </c>
      <c r="C261" t="inlineStr">
        <is>
          <t>Skogsgödsling</t>
        </is>
      </c>
      <c r="D261" s="1" t="n">
        <v>45266</v>
      </c>
      <c r="E261" s="1" t="n">
        <v>46314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2561-2024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46314</v>
      </c>
      <c r="F262" t="inlineStr">
        <is>
          <t>VÄRMLANDS LÄN</t>
        </is>
      </c>
      <c r="G262" t="inlineStr">
        <is>
          <t>KIL</t>
        </is>
      </c>
      <c r="I262" t="n">
        <v>13.6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2562-2024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45476</v>
      </c>
      <c r="E263" s="1" t="n">
        <v>46314</v>
      </c>
      <c r="F263" t="inlineStr">
        <is>
          <t>VÄRMLANDS LÄN</t>
        </is>
      </c>
      <c r="G263" t="inlineStr">
        <is>
          <t>KIL</t>
        </is>
      </c>
      <c r="H263" t="inlineStr">
        <is>
          <t>Kommuner</t>
        </is>
      </c>
      <c r="I263" t="n">
        <v>56.9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2877-2024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45499</v>
      </c>
      <c r="E264" s="1" t="n">
        <v>46314</v>
      </c>
      <c r="F264" t="inlineStr">
        <is>
          <t>VÄRMLANDS LÄN</t>
        </is>
      </c>
      <c r="G264" t="inlineStr">
        <is>
          <t>KIL</t>
        </is>
      </c>
      <c r="I264" t="n">
        <v>15.1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>
      <c r="A265" t="inlineStr">
        <is>
          <t>S 114-2026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46037</v>
      </c>
      <c r="E265" s="1" t="n">
        <v>46314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2026-10-19T02:01:06Z</dcterms:created>
  <dcterms:modified xmlns:dcterms="http://purl.org/dc/terms/" xmlns:xsi="http://www.w3.org/2001/XMLSchema-instance" xsi:type="dcterms:W3CDTF">2026-10-19T02:01:06Z</dcterms:modified>
</cp:coreProperties>
</file>