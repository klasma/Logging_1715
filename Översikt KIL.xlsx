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46280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46280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46280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46280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46280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46280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46280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46280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46280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46280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46280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46280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46280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46280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46280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46280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46280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46280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46280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46280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46280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46280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46280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46280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46280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46280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46280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46280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46280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46280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46280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46280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46280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46280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46280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46280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46280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46280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46280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46280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46280</v>
      </c>
      <c r="F48" t="inlineStr">
        <is>
          <t>VÄRMLANDS LÄN</t>
        </is>
      </c>
      <c r="G48" t="inlineStr">
        <is>
          <t>KIL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46280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46280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46280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46280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46280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46280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46280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46280</v>
      </c>
      <c r="F56" t="inlineStr">
        <is>
          <t>VÄRMLANDS LÄN</t>
        </is>
      </c>
      <c r="G56" t="inlineStr">
        <is>
          <t>KIL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46280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46280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46280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46280</v>
      </c>
      <c r="F60" t="inlineStr">
        <is>
          <t>VÄRMLANDS LÄN</t>
        </is>
      </c>
      <c r="G60" t="inlineStr">
        <is>
          <t>KIL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45252</v>
      </c>
      <c r="E61" s="1" t="n">
        <v>46280</v>
      </c>
      <c r="F61" t="inlineStr">
        <is>
          <t>VÄRMLANDS LÄN</t>
        </is>
      </c>
      <c r="G61" t="inlineStr">
        <is>
          <t>KIL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44927</v>
      </c>
      <c r="E62" s="1" t="n">
        <v>46280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46280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46280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14651-2024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46280</v>
      </c>
      <c r="F65" t="inlineStr">
        <is>
          <t>VÄRMLANDS LÄN</t>
        </is>
      </c>
      <c r="G65" t="inlineStr">
        <is>
          <t>KIL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46280</v>
      </c>
      <c r="F66" t="inlineStr">
        <is>
          <t>VÄRMLANDS LÄN</t>
        </is>
      </c>
      <c r="G66" t="inlineStr">
        <is>
          <t>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46280</v>
      </c>
      <c r="F67" t="inlineStr">
        <is>
          <t>VÄRMLANDS LÄN</t>
        </is>
      </c>
      <c r="G67" t="inlineStr">
        <is>
          <t>KIL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46280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46280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46280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46280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46280</v>
      </c>
      <c r="F72" t="inlineStr">
        <is>
          <t>VÄRMLANDS LÄN</t>
        </is>
      </c>
      <c r="G72" t="inlineStr">
        <is>
          <t>KIL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45194</v>
      </c>
      <c r="E73" s="1" t="n">
        <v>46280</v>
      </c>
      <c r="F73" t="inlineStr">
        <is>
          <t>VÄRMLANDS LÄN</t>
        </is>
      </c>
      <c r="G73" t="inlineStr">
        <is>
          <t>KIL</t>
        </is>
      </c>
      <c r="I73" t="n">
        <v>11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46280</v>
      </c>
      <c r="F74" t="inlineStr">
        <is>
          <t>VÄRMLANDS LÄN</t>
        </is>
      </c>
      <c r="G74" t="inlineStr">
        <is>
          <t>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44803</v>
      </c>
      <c r="E75" s="1" t="n">
        <v>46280</v>
      </c>
      <c r="F75" t="inlineStr">
        <is>
          <t>VÄRMLANDS LÄN</t>
        </is>
      </c>
      <c r="G75" t="inlineStr">
        <is>
          <t>KIL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46280</v>
      </c>
      <c r="F76" t="inlineStr">
        <is>
          <t>VÄRMLANDS LÄN</t>
        </is>
      </c>
      <c r="G76" t="inlineStr">
        <is>
          <t>KIL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45538</v>
      </c>
      <c r="E77" s="1" t="n">
        <v>46280</v>
      </c>
      <c r="F77" t="inlineStr">
        <is>
          <t>VÄRMLANDS LÄN</t>
        </is>
      </c>
      <c r="G77" t="inlineStr">
        <is>
          <t>KIL</t>
        </is>
      </c>
      <c r="I77" t="n">
        <v>17.9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46280</v>
      </c>
      <c r="F78" t="inlineStr">
        <is>
          <t>VÄRMLANDS LÄN</t>
        </is>
      </c>
      <c r="G78" t="inlineStr">
        <is>
          <t>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45749</v>
      </c>
      <c r="E79" s="1" t="n">
        <v>46280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46280</v>
      </c>
      <c r="F80" t="inlineStr">
        <is>
          <t>VÄRMLANDS LÄN</t>
        </is>
      </c>
      <c r="G80" t="inlineStr">
        <is>
          <t>KIL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46280</v>
      </c>
      <c r="F81" t="inlineStr">
        <is>
          <t>VÄRMLANDS LÄN</t>
        </is>
      </c>
      <c r="G81" t="inlineStr">
        <is>
          <t>KIL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46280</v>
      </c>
      <c r="F82" t="inlineStr">
        <is>
          <t>VÄRMLANDS LÄN</t>
        </is>
      </c>
      <c r="G82" t="inlineStr">
        <is>
          <t>KIL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45705</v>
      </c>
      <c r="E83" s="1" t="n">
        <v>46280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46280</v>
      </c>
      <c r="F84" t="inlineStr">
        <is>
          <t>VÄRMLANDS LÄN</t>
        </is>
      </c>
      <c r="G84" t="inlineStr">
        <is>
          <t>KIL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45294</v>
      </c>
      <c r="E85" s="1" t="n">
        <v>46280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46280</v>
      </c>
      <c r="F86" t="inlineStr">
        <is>
          <t>VÄRMLANDS LÄN</t>
        </is>
      </c>
      <c r="G86" t="inlineStr">
        <is>
          <t>KIL</t>
        </is>
      </c>
      <c r="H86" t="inlineStr">
        <is>
          <t>Kyrkan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46280</v>
      </c>
      <c r="F87" t="inlineStr">
        <is>
          <t>VÄRMLANDS LÄN</t>
        </is>
      </c>
      <c r="G87" t="inlineStr">
        <is>
          <t>KIL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46280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46280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46280</v>
      </c>
      <c r="F90" t="inlineStr">
        <is>
          <t>VÄRMLANDS LÄN</t>
        </is>
      </c>
      <c r="G90" t="inlineStr">
        <is>
          <t>KIL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46280</v>
      </c>
      <c r="F91" t="inlineStr">
        <is>
          <t>VÄRMLANDS LÄN</t>
        </is>
      </c>
      <c r="G91" t="inlineStr">
        <is>
          <t>KIL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46280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46280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46280</v>
      </c>
      <c r="F94" t="inlineStr">
        <is>
          <t>VÄRMLANDS LÄN</t>
        </is>
      </c>
      <c r="G94" t="inlineStr">
        <is>
          <t>KIL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46280</v>
      </c>
      <c r="F95" t="inlineStr">
        <is>
          <t>VÄRMLANDS LÄN</t>
        </is>
      </c>
      <c r="G95" t="inlineStr">
        <is>
          <t>KIL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46280</v>
      </c>
      <c r="F96" t="inlineStr">
        <is>
          <t>VÄRMLANDS LÄN</t>
        </is>
      </c>
      <c r="G96" t="inlineStr">
        <is>
          <t>KIL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46280</v>
      </c>
      <c r="F97" t="inlineStr">
        <is>
          <t>VÄRMLANDS LÄN</t>
        </is>
      </c>
      <c r="G97" t="inlineStr">
        <is>
          <t>KIL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46280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46280</v>
      </c>
      <c r="F99" t="inlineStr">
        <is>
          <t>VÄRMLANDS LÄN</t>
        </is>
      </c>
      <c r="G99" t="inlineStr">
        <is>
          <t>KIL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46280</v>
      </c>
      <c r="F100" t="inlineStr">
        <is>
          <t>VÄRMLANDS LÄN</t>
        </is>
      </c>
      <c r="G100" t="inlineStr">
        <is>
          <t>KIL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46280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46280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46280</v>
      </c>
      <c r="F103" t="inlineStr">
        <is>
          <t>VÄRMLANDS LÄN</t>
        </is>
      </c>
      <c r="G103" t="inlineStr">
        <is>
          <t>KIL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46280</v>
      </c>
      <c r="F104" t="inlineStr">
        <is>
          <t>VÄRMLANDS LÄN</t>
        </is>
      </c>
      <c r="G104" t="inlineStr">
        <is>
          <t>KIL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46280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46280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64193-2021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44510</v>
      </c>
      <c r="E107" s="1" t="n">
        <v>46280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46280</v>
      </c>
      <c r="F108" t="inlineStr">
        <is>
          <t>VÄRMLANDS LÄN</t>
        </is>
      </c>
      <c r="G108" t="inlineStr">
        <is>
          <t>KIL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  <c r="Z108">
        <f>HYPERLINK("https://klasma.github.io/Logging_1715/knärot/A 59064-2023 karta knärot.png", "A 59064-2023")</f>
        <v/>
      </c>
      <c r="AA108">
        <f>HYPERLINK("https://klasma.github.io/Logging_1715/klagomål/A 59064-2023 FSC-klagomål.docx", "A 59064-2023")</f>
        <v/>
      </c>
      <c r="AB108">
        <f>HYPERLINK("https://klasma.github.io/Logging_1715/klagomålsmail/A 59064-2023 FSC-klagomål mail.docx", "A 59064-2023")</f>
        <v/>
      </c>
      <c r="AC108">
        <f>HYPERLINK("https://klasma.github.io/Logging_1715/tillsyn/A 59064-2023 tillsynsbegäran.docx", "A 59064-2023")</f>
        <v/>
      </c>
      <c r="AD108">
        <f>HYPERLINK("https://klasma.github.io/Logging_1715/tillsynsmail/A 59064-2023 tillsynsbegäran mail.docx", "A 59064-2023")</f>
        <v/>
      </c>
    </row>
    <row r="109" ht="15" customHeight="1">
      <c r="A109" t="inlineStr">
        <is>
          <t>A 38835-2024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45547</v>
      </c>
      <c r="E109" s="1" t="n">
        <v>46280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45683</v>
      </c>
      <c r="E110" s="1" t="n">
        <v>46280</v>
      </c>
      <c r="F110" t="inlineStr">
        <is>
          <t>VÄRMLANDS LÄN</t>
        </is>
      </c>
      <c r="G110" t="inlineStr">
        <is>
          <t>KIL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46280</v>
      </c>
      <c r="F111" t="inlineStr">
        <is>
          <t>VÄRMLANDS LÄN</t>
        </is>
      </c>
      <c r="G111" t="inlineStr">
        <is>
          <t>KIL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46280</v>
      </c>
      <c r="F112" t="inlineStr">
        <is>
          <t>VÄRMLANDS LÄN</t>
        </is>
      </c>
      <c r="G112" t="inlineStr">
        <is>
          <t>KIL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46280</v>
      </c>
      <c r="F113" t="inlineStr">
        <is>
          <t>VÄRMLANDS LÄN</t>
        </is>
      </c>
      <c r="G113" t="inlineStr">
        <is>
          <t>KIL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46280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46280</v>
      </c>
      <c r="F115" t="inlineStr">
        <is>
          <t>VÄRMLANDS LÄN</t>
        </is>
      </c>
      <c r="G115" t="inlineStr">
        <is>
          <t>KIL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46280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46280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45310</v>
      </c>
      <c r="E118" s="1" t="n">
        <v>46280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46094</v>
      </c>
      <c r="E119" s="1" t="n">
        <v>46280</v>
      </c>
      <c r="F119" t="inlineStr">
        <is>
          <t>VÄRMLANDS LÄN</t>
        </is>
      </c>
      <c r="G119" t="inlineStr">
        <is>
          <t>KIL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46280</v>
      </c>
      <c r="F120" t="inlineStr">
        <is>
          <t>VÄRMLANDS LÄN</t>
        </is>
      </c>
      <c r="G120" t="inlineStr">
        <is>
          <t>KIL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44657</v>
      </c>
      <c r="E121" s="1" t="n">
        <v>46280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46280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46280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45961</v>
      </c>
      <c r="E124" s="1" t="n">
        <v>46280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46112</v>
      </c>
      <c r="E125" s="1" t="n">
        <v>46280</v>
      </c>
      <c r="F125" t="inlineStr">
        <is>
          <t>VÄRMLANDS LÄN</t>
        </is>
      </c>
      <c r="G125" t="inlineStr">
        <is>
          <t>KIL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46280</v>
      </c>
      <c r="F126" t="inlineStr">
        <is>
          <t>VÄRMLANDS LÄN</t>
        </is>
      </c>
      <c r="G126" t="inlineStr">
        <is>
          <t>KIL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45287</v>
      </c>
      <c r="E127" s="1" t="n">
        <v>46280</v>
      </c>
      <c r="F127" t="inlineStr">
        <is>
          <t>VÄRMLANDS LÄN</t>
        </is>
      </c>
      <c r="G127" t="inlineStr">
        <is>
          <t>KIL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46125</v>
      </c>
      <c r="E128" s="1" t="n">
        <v>46280</v>
      </c>
      <c r="F128" t="inlineStr">
        <is>
          <t>VÄRMLANDS LÄN</t>
        </is>
      </c>
      <c r="G128" t="inlineStr">
        <is>
          <t>KIL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46125</v>
      </c>
      <c r="E129" s="1" t="n">
        <v>46280</v>
      </c>
      <c r="F129" t="inlineStr">
        <is>
          <t>VÄRMLANDS LÄN</t>
        </is>
      </c>
      <c r="G129" t="inlineStr">
        <is>
          <t>KIL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18049-2024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46280</v>
      </c>
      <c r="F130" t="inlineStr">
        <is>
          <t>VÄRMLANDS LÄN</t>
        </is>
      </c>
      <c r="G130" t="inlineStr">
        <is>
          <t>KIL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41074-2022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46280</v>
      </c>
      <c r="F131" t="inlineStr">
        <is>
          <t>VÄRMLANDS LÄN</t>
        </is>
      </c>
      <c r="G131" t="inlineStr">
        <is>
          <t>KIL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46280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46280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46280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46280</v>
      </c>
      <c r="F135" t="inlineStr">
        <is>
          <t>VÄRMLANDS LÄN</t>
        </is>
      </c>
      <c r="G135" t="inlineStr">
        <is>
          <t>KIL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45797</v>
      </c>
      <c r="E136" s="1" t="n">
        <v>46280</v>
      </c>
      <c r="F136" t="inlineStr">
        <is>
          <t>VÄRMLANDS LÄN</t>
        </is>
      </c>
      <c r="G136" t="inlineStr">
        <is>
          <t>KIL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44768</v>
      </c>
      <c r="E137" s="1" t="n">
        <v>46280</v>
      </c>
      <c r="F137" t="inlineStr">
        <is>
          <t>VÄRMLANDS LÄN</t>
        </is>
      </c>
      <c r="G137" t="inlineStr">
        <is>
          <t>KIL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46280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46280</v>
      </c>
      <c r="F139" t="inlineStr">
        <is>
          <t>VÄRMLANDS LÄN</t>
        </is>
      </c>
      <c r="G139" t="inlineStr">
        <is>
          <t>KIL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56957-2025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45978</v>
      </c>
      <c r="E140" s="1" t="n">
        <v>46280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46280</v>
      </c>
      <c r="F141" t="inlineStr">
        <is>
          <t>VÄRMLANDS LÄN</t>
        </is>
      </c>
      <c r="G141" t="inlineStr">
        <is>
          <t>KIL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46280</v>
      </c>
      <c r="F142" t="inlineStr">
        <is>
          <t>VÄRMLANDS LÄN</t>
        </is>
      </c>
      <c r="G142" t="inlineStr">
        <is>
          <t>KIL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46280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46280</v>
      </c>
      <c r="F144" t="inlineStr">
        <is>
          <t>VÄRMLANDS LÄN</t>
        </is>
      </c>
      <c r="G144" t="inlineStr">
        <is>
          <t>KIL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46280</v>
      </c>
      <c r="F145" t="inlineStr">
        <is>
          <t>VÄRMLANDS LÄN</t>
        </is>
      </c>
      <c r="G145" t="inlineStr">
        <is>
          <t>KIL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46280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45811</v>
      </c>
      <c r="E147" s="1" t="n">
        <v>46280</v>
      </c>
      <c r="F147" t="inlineStr">
        <is>
          <t>VÄRMLANDS LÄN</t>
        </is>
      </c>
      <c r="G147" t="inlineStr">
        <is>
          <t>KIL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46280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45910</v>
      </c>
      <c r="E149" s="1" t="n">
        <v>46280</v>
      </c>
      <c r="F149" t="inlineStr">
        <is>
          <t>VÄRMLANDS LÄN</t>
        </is>
      </c>
      <c r="G149" t="inlineStr">
        <is>
          <t>KIL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46280</v>
      </c>
      <c r="F150" t="inlineStr">
        <is>
          <t>VÄRMLANDS LÄN</t>
        </is>
      </c>
      <c r="G150" t="inlineStr">
        <is>
          <t>KIL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46280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44581</v>
      </c>
      <c r="E152" s="1" t="n">
        <v>46280</v>
      </c>
      <c r="F152" t="inlineStr">
        <is>
          <t>VÄRMLANDS LÄN</t>
        </is>
      </c>
      <c r="G152" t="inlineStr">
        <is>
          <t>KIL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46280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46280</v>
      </c>
      <c r="F154" t="inlineStr">
        <is>
          <t>VÄRMLANDS LÄN</t>
        </is>
      </c>
      <c r="G154" t="inlineStr">
        <is>
          <t>KIL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46280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46280</v>
      </c>
      <c r="F156" t="inlineStr">
        <is>
          <t>VÄRMLANDS LÄN</t>
        </is>
      </c>
      <c r="G156" t="inlineStr">
        <is>
          <t>KIL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44680</v>
      </c>
      <c r="E157" s="1" t="n">
        <v>46280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46280</v>
      </c>
      <c r="F158" t="inlineStr">
        <is>
          <t>VÄRMLANDS LÄN</t>
        </is>
      </c>
      <c r="G158" t="inlineStr">
        <is>
          <t>KIL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45349</v>
      </c>
      <c r="E159" s="1" t="n">
        <v>46280</v>
      </c>
      <c r="F159" t="inlineStr">
        <is>
          <t>VÄRMLANDS LÄN</t>
        </is>
      </c>
      <c r="G159" t="inlineStr">
        <is>
          <t>KIL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46280</v>
      </c>
      <c r="F160" t="inlineStr">
        <is>
          <t>VÄRMLANDS LÄN</t>
        </is>
      </c>
      <c r="G160" t="inlineStr">
        <is>
          <t>KIL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46280</v>
      </c>
      <c r="F161" t="inlineStr">
        <is>
          <t>VÄRMLANDS LÄN</t>
        </is>
      </c>
      <c r="G161" t="inlineStr">
        <is>
          <t>KIL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46280</v>
      </c>
      <c r="F162" t="inlineStr">
        <is>
          <t>VÄRMLANDS LÄN</t>
        </is>
      </c>
      <c r="G162" t="inlineStr">
        <is>
          <t>KIL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46280</v>
      </c>
      <c r="F163" t="inlineStr">
        <is>
          <t>VÄRMLANDS LÄN</t>
        </is>
      </c>
      <c r="G163" t="inlineStr">
        <is>
          <t>KIL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45427</v>
      </c>
      <c r="E164" s="1" t="n">
        <v>46280</v>
      </c>
      <c r="F164" t="inlineStr">
        <is>
          <t>VÄRMLANDS LÄN</t>
        </is>
      </c>
      <c r="G164" t="inlineStr">
        <is>
          <t>KIL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27638-2026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46190</v>
      </c>
      <c r="E165" s="1" t="n">
        <v>46280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46280</v>
      </c>
      <c r="F166" t="inlineStr">
        <is>
          <t>VÄRMLANDS LÄN</t>
        </is>
      </c>
      <c r="G166" t="inlineStr">
        <is>
          <t>KIL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46280</v>
      </c>
      <c r="F167" t="inlineStr">
        <is>
          <t>VÄRMLANDS LÄN</t>
        </is>
      </c>
      <c r="G167" t="inlineStr">
        <is>
          <t>KIL</t>
        </is>
      </c>
      <c r="H167" t="inlineStr">
        <is>
          <t>Kyrkan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71728-2021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46280</v>
      </c>
      <c r="F168" t="inlineStr">
        <is>
          <t>VÄRMLANDS LÄN</t>
        </is>
      </c>
      <c r="G168" t="inlineStr">
        <is>
          <t>KIL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46245</v>
      </c>
      <c r="E169" s="1" t="n">
        <v>46280</v>
      </c>
      <c r="F169" t="inlineStr">
        <is>
          <t>VÄRMLANDS LÄN</t>
        </is>
      </c>
      <c r="G169" t="inlineStr">
        <is>
          <t>KIL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46280</v>
      </c>
      <c r="F170" t="inlineStr">
        <is>
          <t>VÄRMLANDS LÄN</t>
        </is>
      </c>
      <c r="G170" t="inlineStr">
        <is>
          <t>KIL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46280</v>
      </c>
      <c r="F171" t="inlineStr">
        <is>
          <t>VÄRMLANDS LÄN</t>
        </is>
      </c>
      <c r="G171" t="inlineStr">
        <is>
          <t>KIL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46280</v>
      </c>
      <c r="F172" t="inlineStr">
        <is>
          <t>VÄRMLANDS LÄN</t>
        </is>
      </c>
      <c r="G172" t="inlineStr">
        <is>
          <t>KIL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45640</v>
      </c>
      <c r="E173" s="1" t="n">
        <v>46280</v>
      </c>
      <c r="F173" t="inlineStr">
        <is>
          <t>VÄRMLANDS LÄN</t>
        </is>
      </c>
      <c r="G173" t="inlineStr">
        <is>
          <t>KIL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46280</v>
      </c>
      <c r="F174" t="inlineStr">
        <is>
          <t>VÄRMLANDS LÄN</t>
        </is>
      </c>
      <c r="G174" t="inlineStr">
        <is>
          <t>KIL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46280</v>
      </c>
      <c r="F175" t="inlineStr">
        <is>
          <t>VÄRMLANDS LÄN</t>
        </is>
      </c>
      <c r="G175" t="inlineStr">
        <is>
          <t>KIL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58679-2021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46280</v>
      </c>
      <c r="F176" t="inlineStr">
        <is>
          <t>VÄRMLANDS LÄN</t>
        </is>
      </c>
      <c r="G176" t="inlineStr">
        <is>
          <t>KIL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46280</v>
      </c>
      <c r="F177" t="inlineStr">
        <is>
          <t>VÄRMLANDS LÄN</t>
        </is>
      </c>
      <c r="G177" t="inlineStr">
        <is>
          <t>KIL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46280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46280</v>
      </c>
      <c r="F179" t="inlineStr">
        <is>
          <t>VÄRMLANDS LÄN</t>
        </is>
      </c>
      <c r="G179" t="inlineStr">
        <is>
          <t>KIL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46280</v>
      </c>
      <c r="F180" t="inlineStr">
        <is>
          <t>VÄRMLANDS LÄN</t>
        </is>
      </c>
      <c r="G180" t="inlineStr">
        <is>
          <t>KIL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46280</v>
      </c>
      <c r="F181" t="inlineStr">
        <is>
          <t>VÄRMLANDS LÄN</t>
        </is>
      </c>
      <c r="G181" t="inlineStr">
        <is>
          <t>KIL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46280</v>
      </c>
      <c r="F182" t="inlineStr">
        <is>
          <t>VÄRMLANDS LÄN</t>
        </is>
      </c>
      <c r="G182" t="inlineStr">
        <is>
          <t>KIL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45109</v>
      </c>
      <c r="E183" s="1" t="n">
        <v>46280</v>
      </c>
      <c r="F183" t="inlineStr">
        <is>
          <t>VÄRMLANDS LÄN</t>
        </is>
      </c>
      <c r="G183" t="inlineStr">
        <is>
          <t>KIL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45525</v>
      </c>
      <c r="E184" s="1" t="n">
        <v>46280</v>
      </c>
      <c r="F184" t="inlineStr">
        <is>
          <t>VÄRMLANDS LÄN</t>
        </is>
      </c>
      <c r="G184" t="inlineStr">
        <is>
          <t>KIL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46280</v>
      </c>
      <c r="F185" t="inlineStr">
        <is>
          <t>VÄRMLANDS LÄN</t>
        </is>
      </c>
      <c r="G185" t="inlineStr">
        <is>
          <t>KIL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45404</v>
      </c>
      <c r="E186" s="1" t="n">
        <v>46280</v>
      </c>
      <c r="F186" t="inlineStr">
        <is>
          <t>VÄRMLANDS LÄN</t>
        </is>
      </c>
      <c r="G186" t="inlineStr">
        <is>
          <t>KIL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73251-2021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46280</v>
      </c>
      <c r="F187" t="inlineStr">
        <is>
          <t>VÄRMLANDS LÄN</t>
        </is>
      </c>
      <c r="G187" t="inlineStr">
        <is>
          <t>KIL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46280</v>
      </c>
      <c r="F188" t="inlineStr">
        <is>
          <t>VÄRMLANDS LÄN</t>
        </is>
      </c>
      <c r="G188" t="inlineStr">
        <is>
          <t>KIL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46280</v>
      </c>
      <c r="F189" t="inlineStr">
        <is>
          <t>VÄRMLANDS LÄN</t>
        </is>
      </c>
      <c r="G189" t="inlineStr">
        <is>
          <t>KIL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46280</v>
      </c>
      <c r="F190" t="inlineStr">
        <is>
          <t>VÄRMLANDS LÄN</t>
        </is>
      </c>
      <c r="G190" t="inlineStr">
        <is>
          <t>KIL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46280</v>
      </c>
      <c r="F191" t="inlineStr">
        <is>
          <t>VÄRMLANDS LÄN</t>
        </is>
      </c>
      <c r="G191" t="inlineStr">
        <is>
          <t>KIL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44959</v>
      </c>
      <c r="E192" s="1" t="n">
        <v>46280</v>
      </c>
      <c r="F192" t="inlineStr">
        <is>
          <t>VÄRMLANDS LÄN</t>
        </is>
      </c>
      <c r="G192" t="inlineStr">
        <is>
          <t>KIL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45694</v>
      </c>
      <c r="E193" s="1" t="n">
        <v>46280</v>
      </c>
      <c r="F193" t="inlineStr">
        <is>
          <t>VÄRMLANDS LÄN</t>
        </is>
      </c>
      <c r="G193" t="inlineStr">
        <is>
          <t>KIL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46280</v>
      </c>
      <c r="F194" t="inlineStr">
        <is>
          <t>VÄRMLANDS LÄN</t>
        </is>
      </c>
      <c r="G194" t="inlineStr">
        <is>
          <t>KIL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46280</v>
      </c>
      <c r="F195" t="inlineStr">
        <is>
          <t>VÄRMLANDS LÄN</t>
        </is>
      </c>
      <c r="G195" t="inlineStr">
        <is>
          <t>KIL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46280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46280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46280</v>
      </c>
      <c r="F198" t="inlineStr">
        <is>
          <t>VÄRMLANDS LÄN</t>
        </is>
      </c>
      <c r="G198" t="inlineStr">
        <is>
          <t>KIL</t>
        </is>
      </c>
      <c r="H198" t="inlineStr">
        <is>
          <t>Bergvik skog väst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46280</v>
      </c>
      <c r="F199" t="inlineStr">
        <is>
          <t>VÄRMLANDS LÄN</t>
        </is>
      </c>
      <c r="G199" t="inlineStr">
        <is>
          <t>KIL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46280</v>
      </c>
      <c r="F200" t="inlineStr">
        <is>
          <t>VÄRMLANDS LÄN</t>
        </is>
      </c>
      <c r="G200" t="inlineStr">
        <is>
          <t>KIL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45287</v>
      </c>
      <c r="E201" s="1" t="n">
        <v>46280</v>
      </c>
      <c r="F201" t="inlineStr">
        <is>
          <t>VÄRMLANDS LÄN</t>
        </is>
      </c>
      <c r="G201" t="inlineStr">
        <is>
          <t>KIL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44927</v>
      </c>
      <c r="E202" s="1" t="n">
        <v>46280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46280</v>
      </c>
      <c r="F203" t="inlineStr">
        <is>
          <t>VÄRMLANDS LÄN</t>
        </is>
      </c>
      <c r="G203" t="inlineStr">
        <is>
          <t>KIL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45271</v>
      </c>
      <c r="E204" s="1" t="n">
        <v>46280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46280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24.9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46280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45463</v>
      </c>
      <c r="E207" s="1" t="n">
        <v>46280</v>
      </c>
      <c r="F207" t="inlineStr">
        <is>
          <t>VÄRMLANDS LÄN</t>
        </is>
      </c>
      <c r="G207" t="inlineStr">
        <is>
          <t>KIL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44941</v>
      </c>
      <c r="E208" s="1" t="n">
        <v>46280</v>
      </c>
      <c r="F208" t="inlineStr">
        <is>
          <t>VÄRMLANDS LÄN</t>
        </is>
      </c>
      <c r="G208" t="inlineStr">
        <is>
          <t>KIL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46280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46280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46280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46280</v>
      </c>
      <c r="F212" t="inlineStr">
        <is>
          <t>VÄRMLANDS LÄN</t>
        </is>
      </c>
      <c r="G212" t="inlineStr">
        <is>
          <t>KIL</t>
        </is>
      </c>
      <c r="H212" t="inlineStr">
        <is>
          <t>Kommuner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46280</v>
      </c>
      <c r="F213" t="inlineStr">
        <is>
          <t>VÄRMLANDS LÄN</t>
        </is>
      </c>
      <c r="G213" t="inlineStr">
        <is>
          <t>KIL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46280</v>
      </c>
      <c r="F214" t="inlineStr">
        <is>
          <t>VÄRMLANDS LÄN</t>
        </is>
      </c>
      <c r="G214" t="inlineStr">
        <is>
          <t>KIL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46280</v>
      </c>
      <c r="F215" t="inlineStr">
        <is>
          <t>VÄRMLANDS LÄN</t>
        </is>
      </c>
      <c r="G215" t="inlineStr">
        <is>
          <t>KIL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46280</v>
      </c>
      <c r="F216" t="inlineStr">
        <is>
          <t>VÄRMLANDS LÄN</t>
        </is>
      </c>
      <c r="G216" t="inlineStr">
        <is>
          <t>KIL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46280</v>
      </c>
      <c r="F217" t="inlineStr">
        <is>
          <t>VÄRMLANDS LÄN</t>
        </is>
      </c>
      <c r="G217" t="inlineStr">
        <is>
          <t>KIL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46280</v>
      </c>
      <c r="F218" t="inlineStr">
        <is>
          <t>VÄRMLANDS LÄN</t>
        </is>
      </c>
      <c r="G218" t="inlineStr">
        <is>
          <t>KIL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46280</v>
      </c>
      <c r="F219" t="inlineStr">
        <is>
          <t>VÄRMLANDS LÄN</t>
        </is>
      </c>
      <c r="G219" t="inlineStr">
        <is>
          <t>KIL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46280</v>
      </c>
      <c r="F220" t="inlineStr">
        <is>
          <t>VÄRMLANDS LÄN</t>
        </is>
      </c>
      <c r="G220" t="inlineStr">
        <is>
          <t>KIL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46280</v>
      </c>
      <c r="F221" t="inlineStr">
        <is>
          <t>VÄRMLANDS LÄN</t>
        </is>
      </c>
      <c r="G221" t="inlineStr">
        <is>
          <t>KIL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46280</v>
      </c>
      <c r="F222" t="inlineStr">
        <is>
          <t>VÄRMLANDS LÄN</t>
        </is>
      </c>
      <c r="G222" t="inlineStr">
        <is>
          <t>KIL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46280</v>
      </c>
      <c r="F223" t="inlineStr">
        <is>
          <t>VÄRMLANDS LÄN</t>
        </is>
      </c>
      <c r="G223" t="inlineStr">
        <is>
          <t>KIL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45484</v>
      </c>
      <c r="E224" s="1" t="n">
        <v>46280</v>
      </c>
      <c r="F224" t="inlineStr">
        <is>
          <t>VÄRMLANDS LÄN</t>
        </is>
      </c>
      <c r="G224" t="inlineStr">
        <is>
          <t>KIL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46280</v>
      </c>
      <c r="F225" t="inlineStr">
        <is>
          <t>VÄRMLANDS LÄN</t>
        </is>
      </c>
      <c r="G225" t="inlineStr">
        <is>
          <t>KIL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46280</v>
      </c>
      <c r="F226" t="inlineStr">
        <is>
          <t>VÄRMLANDS LÄN</t>
        </is>
      </c>
      <c r="G226" t="inlineStr">
        <is>
          <t>KIL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46280</v>
      </c>
      <c r="F227" t="inlineStr">
        <is>
          <t>VÄRMLANDS LÄN</t>
        </is>
      </c>
      <c r="G227" t="inlineStr">
        <is>
          <t>KIL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46280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46280</v>
      </c>
      <c r="F229" t="inlineStr">
        <is>
          <t>VÄRMLANDS LÄN</t>
        </is>
      </c>
      <c r="G229" t="inlineStr">
        <is>
          <t>KIL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46280</v>
      </c>
      <c r="F230" t="inlineStr">
        <is>
          <t>VÄRMLANDS LÄN</t>
        </is>
      </c>
      <c r="G230" t="inlineStr">
        <is>
          <t>KIL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46280</v>
      </c>
      <c r="F231" t="inlineStr">
        <is>
          <t>VÄRMLANDS LÄN</t>
        </is>
      </c>
      <c r="G231" t="inlineStr">
        <is>
          <t>KIL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59503-2022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44907</v>
      </c>
      <c r="E232" s="1" t="n">
        <v>46280</v>
      </c>
      <c r="F232" t="inlineStr">
        <is>
          <t>VÄRMLANDS LÄN</t>
        </is>
      </c>
      <c r="G232" t="inlineStr">
        <is>
          <t>KIL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46280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45367</v>
      </c>
      <c r="E234" s="1" t="n">
        <v>46280</v>
      </c>
      <c r="F234" t="inlineStr">
        <is>
          <t>VÄRMLANDS LÄN</t>
        </is>
      </c>
      <c r="G234" t="inlineStr">
        <is>
          <t>KIL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34402-2022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44792</v>
      </c>
      <c r="E235" s="1" t="n">
        <v>46280</v>
      </c>
      <c r="F235" t="inlineStr">
        <is>
          <t>VÄRMLANDS LÄN</t>
        </is>
      </c>
      <c r="G235" t="inlineStr">
        <is>
          <t>KIL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45041</v>
      </c>
      <c r="E236" s="1" t="n">
        <v>46280</v>
      </c>
      <c r="F236" t="inlineStr">
        <is>
          <t>VÄRMLANDS LÄN</t>
        </is>
      </c>
      <c r="G236" t="inlineStr">
        <is>
          <t>KIL</t>
        </is>
      </c>
      <c r="H236" t="inlineStr">
        <is>
          <t>Bergvik skog väst AB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72073-2021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46280</v>
      </c>
      <c r="F237" t="inlineStr">
        <is>
          <t>VÄRMLANDS LÄN</t>
        </is>
      </c>
      <c r="G237" t="inlineStr">
        <is>
          <t>KIL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46280</v>
      </c>
      <c r="F238" t="inlineStr">
        <is>
          <t>VÄRMLANDS LÄN</t>
        </is>
      </c>
      <c r="G238" t="inlineStr">
        <is>
          <t>KIL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46280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46280</v>
      </c>
      <c r="F240" t="inlineStr">
        <is>
          <t>VÄRMLANDS LÄN</t>
        </is>
      </c>
      <c r="G240" t="inlineStr">
        <is>
          <t>KIL</t>
        </is>
      </c>
      <c r="H240" t="inlineStr">
        <is>
          <t>Kyrkan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46280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45704</v>
      </c>
      <c r="E242" s="1" t="n">
        <v>46280</v>
      </c>
      <c r="F242" t="inlineStr">
        <is>
          <t>VÄRMLANDS LÄN</t>
        </is>
      </c>
      <c r="G242" t="inlineStr">
        <is>
          <t>KIL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46280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44655</v>
      </c>
      <c r="E244" s="1" t="n">
        <v>46280</v>
      </c>
      <c r="F244" t="inlineStr">
        <is>
          <t>VÄRMLANDS LÄN</t>
        </is>
      </c>
      <c r="G244" t="inlineStr">
        <is>
          <t>KIL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45367</v>
      </c>
      <c r="E245" s="1" t="n">
        <v>46280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57967-2021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46280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46280</v>
      </c>
      <c r="F247" t="inlineStr">
        <is>
          <t>VÄRMLANDS LÄN</t>
        </is>
      </c>
      <c r="G247" t="inlineStr">
        <is>
          <t>KIL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45397</v>
      </c>
      <c r="E248" s="1" t="n">
        <v>46280</v>
      </c>
      <c r="F248" t="inlineStr">
        <is>
          <t>VÄRMLANDS LÄN</t>
        </is>
      </c>
      <c r="G248" t="inlineStr">
        <is>
          <t>KIL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44803</v>
      </c>
      <c r="E249" s="1" t="n">
        <v>46280</v>
      </c>
      <c r="F249" t="inlineStr">
        <is>
          <t>VÄRMLANDS LÄN</t>
        </is>
      </c>
      <c r="G249" t="inlineStr">
        <is>
          <t>KIL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46280</v>
      </c>
      <c r="F250" t="inlineStr">
        <is>
          <t>VÄRMLANDS LÄN</t>
        </is>
      </c>
      <c r="G250" t="inlineStr">
        <is>
          <t>KIL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46280</v>
      </c>
      <c r="F251" t="inlineStr">
        <is>
          <t>VÄRMLANDS LÄN</t>
        </is>
      </c>
      <c r="G251" t="inlineStr">
        <is>
          <t>KIL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45436</v>
      </c>
      <c r="E252" s="1" t="n">
        <v>46280</v>
      </c>
      <c r="F252" t="inlineStr">
        <is>
          <t>VÄRMLANDS LÄN</t>
        </is>
      </c>
      <c r="G252" t="inlineStr">
        <is>
          <t>KIL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46280</v>
      </c>
      <c r="F253" t="inlineStr">
        <is>
          <t>VÄRMLANDS LÄN</t>
        </is>
      </c>
      <c r="G253" t="inlineStr">
        <is>
          <t>KIL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45642</v>
      </c>
      <c r="E254" s="1" t="n">
        <v>46280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46280</v>
      </c>
      <c r="F255" t="inlineStr">
        <is>
          <t>VÄRMLANDS LÄN</t>
        </is>
      </c>
      <c r="G255" t="inlineStr">
        <is>
          <t>KIL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44775</v>
      </c>
      <c r="E256" s="1" t="n">
        <v>46280</v>
      </c>
      <c r="F256" t="inlineStr">
        <is>
          <t>VÄRMLANDS LÄN</t>
        </is>
      </c>
      <c r="G256" t="inlineStr">
        <is>
          <t>KIL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45207</v>
      </c>
      <c r="E257" s="1" t="n">
        <v>46280</v>
      </c>
      <c r="F257" t="inlineStr">
        <is>
          <t>VÄRMLANDS LÄN</t>
        </is>
      </c>
      <c r="G257" t="inlineStr">
        <is>
          <t>KIL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44565</v>
      </c>
      <c r="E258" s="1" t="n">
        <v>46280</v>
      </c>
      <c r="F258" t="inlineStr">
        <is>
          <t>VÄRMLANDS LÄN</t>
        </is>
      </c>
      <c r="G258" t="inlineStr">
        <is>
          <t>KIL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46280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46280</v>
      </c>
      <c r="F260" t="inlineStr">
        <is>
          <t>VÄRMLANDS LÄN</t>
        </is>
      </c>
      <c r="G260" t="inlineStr">
        <is>
          <t>KIL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45287</v>
      </c>
      <c r="E261" s="1" t="n">
        <v>46280</v>
      </c>
      <c r="F261" t="inlineStr">
        <is>
          <t>VÄRMLANDS LÄN</t>
        </is>
      </c>
      <c r="G261" t="inlineStr">
        <is>
          <t>KIL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46280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46280</v>
      </c>
      <c r="F263" t="inlineStr">
        <is>
          <t>VÄRMLANDS LÄN</t>
        </is>
      </c>
      <c r="G263" t="inlineStr">
        <is>
          <t>KIL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46280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46280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46280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46280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46280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46280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46280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46280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46280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2026-09-15T08:15:52Z</dcterms:created>
  <dcterms:modified xmlns:dcterms="http://purl.org/dc/terms/" xmlns:xsi="http://www.w3.org/2001/XMLSchema-instance" xsi:type="dcterms:W3CDTF">2026-09-15T08:15:53Z</dcterms:modified>
</cp:coreProperties>
</file>