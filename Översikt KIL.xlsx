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26849-2023</t>
        </is>
      </c>
      <c r="B2" s="1" t="n">
        <v>45093</v>
      </c>
      <c r="C2" s="1" t="n">
        <v>46192</v>
      </c>
      <c r="D2" t="inlineStr">
        <is>
          <t>VÄRMLANDS LÄN</t>
        </is>
      </c>
      <c r="E2" t="inlineStr">
        <is>
          <t>KIL</t>
        </is>
      </c>
      <c r="G2" t="n">
        <v>2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Gullklöver
Skogsklocka</t>
        </is>
      </c>
      <c r="S2">
        <f>HYPERLINK("https://klasma.github.io/Logging_1715/artfynd/A 26849-2023 artfynd.xlsx", "A 26849-2023")</f>
        <v/>
      </c>
      <c r="T2">
        <f>HYPERLINK("https://klasma.github.io/Logging_1715/kartor/A 26849-2023 karta.png", "A 26849-2023")</f>
        <v/>
      </c>
      <c r="V2">
        <f>HYPERLINK("https://klasma.github.io/Logging_1715/klagomål/A 26849-2023 FSC-klagomål.docx", "A 26849-2023")</f>
        <v/>
      </c>
      <c r="W2">
        <f>HYPERLINK("https://klasma.github.io/Logging_1715/klagomålsmail/A 26849-2023 FSC-klagomål mail.docx", "A 26849-2023")</f>
        <v/>
      </c>
      <c r="X2">
        <f>HYPERLINK("https://klasma.github.io/Logging_1715/tillsyn/A 26849-2023 tillsynsbegäran.docx", "A 26849-2023")</f>
        <v/>
      </c>
      <c r="Y2">
        <f>HYPERLINK("https://klasma.github.io/Logging_1715/tillsynsmail/A 26849-2023 tillsynsbegäran mail.docx", "A 26849-2023")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46192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Dropptaggsvamp
Tjäder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  <c r="Z3">
        <f>HYPERLINK("https://klasma.github.io/Logging_1715/fåglar/A 37408-2022 prioriterade fågelarter.docx", "A 37408-2022")</f>
        <v/>
      </c>
    </row>
    <row r="4" ht="15" customHeight="1">
      <c r="A4" t="inlineStr">
        <is>
          <t>A 2997-2022</t>
        </is>
      </c>
      <c r="B4" s="1" t="n">
        <v>44581</v>
      </c>
      <c r="C4" s="1" t="n">
        <v>46192</v>
      </c>
      <c r="D4" t="inlineStr">
        <is>
          <t>VÄRMLANDS LÄN</t>
        </is>
      </c>
      <c r="E4" t="inlineStr">
        <is>
          <t>KIL</t>
        </is>
      </c>
      <c r="G4" t="n">
        <v>1.9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Mindre vattensalamander</t>
        </is>
      </c>
      <c r="S4">
        <f>HYPERLINK("https://klasma.github.io/Logging_1715/artfynd/A 2997-2022 artfynd.xlsx", "A 2997-2022")</f>
        <v/>
      </c>
      <c r="T4">
        <f>HYPERLINK("https://klasma.github.io/Logging_1715/kartor/A 2997-2022 karta.png", "A 2997-2022")</f>
        <v/>
      </c>
      <c r="V4">
        <f>HYPERLINK("https://klasma.github.io/Logging_1715/klagomål/A 2997-2022 FSC-klagomål.docx", "A 2997-2022")</f>
        <v/>
      </c>
      <c r="W4">
        <f>HYPERLINK("https://klasma.github.io/Logging_1715/klagomålsmail/A 2997-2022 FSC-klagomål mail.docx", "A 2997-2022")</f>
        <v/>
      </c>
      <c r="X4">
        <f>HYPERLINK("https://klasma.github.io/Logging_1715/tillsyn/A 2997-2022 tillsynsbegäran.docx", "A 2997-2022")</f>
        <v/>
      </c>
      <c r="Y4">
        <f>HYPERLINK("https://klasma.github.io/Logging_1715/tillsynsmail/A 2997-2022 tillsynsbegäran mail.docx", "A 2997-2022")</f>
        <v/>
      </c>
    </row>
    <row r="5" ht="15" customHeight="1">
      <c r="A5" t="inlineStr">
        <is>
          <t>A 2998-2022</t>
        </is>
      </c>
      <c r="B5" s="1" t="n">
        <v>44581</v>
      </c>
      <c r="C5" s="1" t="n">
        <v>46192</v>
      </c>
      <c r="D5" t="inlineStr">
        <is>
          <t>VÄRMLANDS LÄN</t>
        </is>
      </c>
      <c r="E5" t="inlineStr">
        <is>
          <t>KIL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HYPERLINK("https://klasma.github.io/Logging_1715/artfynd/A 2998-2022 artfynd.xlsx", "A 2998-2022")</f>
        <v/>
      </c>
      <c r="T5">
        <f>HYPERLINK("https://klasma.github.io/Logging_1715/kartor/A 2998-2022 karta.png", "A 2998-2022")</f>
        <v/>
      </c>
      <c r="V5">
        <f>HYPERLINK("https://klasma.github.io/Logging_1715/klagomål/A 2998-2022 FSC-klagomål.docx", "A 2998-2022")</f>
        <v/>
      </c>
      <c r="W5">
        <f>HYPERLINK("https://klasma.github.io/Logging_1715/klagomålsmail/A 2998-2022 FSC-klagomål mail.docx", "A 2998-2022")</f>
        <v/>
      </c>
      <c r="X5">
        <f>HYPERLINK("https://klasma.github.io/Logging_1715/tillsyn/A 2998-2022 tillsynsbegäran.docx", "A 2998-2022")</f>
        <v/>
      </c>
      <c r="Y5">
        <f>HYPERLINK("https://klasma.github.io/Logging_1715/tillsynsmail/A 2998-2022 tillsynsbegäran mail.docx", "A 2998-2022")</f>
        <v/>
      </c>
    </row>
    <row r="6" ht="15" customHeight="1">
      <c r="A6" t="inlineStr">
        <is>
          <t>A 32368-2021</t>
        </is>
      </c>
      <c r="B6" s="1" t="n">
        <v>44371</v>
      </c>
      <c r="C6" s="1" t="n">
        <v>46192</v>
      </c>
      <c r="D6" t="inlineStr">
        <is>
          <t>VÄRMLANDS LÄN</t>
        </is>
      </c>
      <c r="E6" t="inlineStr">
        <is>
          <t>KIL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Kråka</t>
        </is>
      </c>
      <c r="S6">
        <f>HYPERLINK("https://klasma.github.io/Logging_1715/artfynd/A 32368-2021 artfynd.xlsx", "A 32368-2021")</f>
        <v/>
      </c>
      <c r="T6">
        <f>HYPERLINK("https://klasma.github.io/Logging_1715/kartor/A 32368-2021 karta.png", "A 32368-2021")</f>
        <v/>
      </c>
      <c r="V6">
        <f>HYPERLINK("https://klasma.github.io/Logging_1715/klagomål/A 32368-2021 FSC-klagomål.docx", "A 32368-2021")</f>
        <v/>
      </c>
      <c r="W6">
        <f>HYPERLINK("https://klasma.github.io/Logging_1715/klagomålsmail/A 32368-2021 FSC-klagomål mail.docx", "A 32368-2021")</f>
        <v/>
      </c>
      <c r="X6">
        <f>HYPERLINK("https://klasma.github.io/Logging_1715/tillsyn/A 32368-2021 tillsynsbegäran.docx", "A 32368-2021")</f>
        <v/>
      </c>
      <c r="Y6">
        <f>HYPERLINK("https://klasma.github.io/Logging_1715/tillsynsmail/A 32368-2021 tillsynsbegäran mail.docx", "A 32368-2021")</f>
        <v/>
      </c>
      <c r="Z6">
        <f>HYPERLINK("https://klasma.github.io/Logging_1715/fåglar/A 32368-2021 prioriterade fågelarter.docx", "A 32368-2021")</f>
        <v/>
      </c>
    </row>
    <row r="7" ht="15" customHeight="1">
      <c r="A7" t="inlineStr">
        <is>
          <t>A 38039-2024</t>
        </is>
      </c>
      <c r="B7" s="1" t="n">
        <v>45544</v>
      </c>
      <c r="C7" s="1" t="n">
        <v>46192</v>
      </c>
      <c r="D7" t="inlineStr">
        <is>
          <t>VÄRMLANDS LÄN</t>
        </is>
      </c>
      <c r="E7" t="inlineStr">
        <is>
          <t>KIL</t>
        </is>
      </c>
      <c r="G7" t="n">
        <v>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HYPERLINK("https://klasma.github.io/Logging_1715/artfynd/A 38039-2024 artfynd.xlsx", "A 38039-2024")</f>
        <v/>
      </c>
      <c r="T7">
        <f>HYPERLINK("https://klasma.github.io/Logging_1715/kartor/A 38039-2024 karta.png", "A 38039-2024")</f>
        <v/>
      </c>
      <c r="V7">
        <f>HYPERLINK("https://klasma.github.io/Logging_1715/klagomål/A 38039-2024 FSC-klagomål.docx", "A 38039-2024")</f>
        <v/>
      </c>
      <c r="W7">
        <f>HYPERLINK("https://klasma.github.io/Logging_1715/klagomålsmail/A 38039-2024 FSC-klagomål mail.docx", "A 38039-2024")</f>
        <v/>
      </c>
      <c r="X7">
        <f>HYPERLINK("https://klasma.github.io/Logging_1715/tillsyn/A 38039-2024 tillsynsbegäran.docx", "A 38039-2024")</f>
        <v/>
      </c>
      <c r="Y7">
        <f>HYPERLINK("https://klasma.github.io/Logging_1715/tillsynsmail/A 38039-2024 tillsynsbegäran mail.docx", "A 38039-2024")</f>
        <v/>
      </c>
    </row>
    <row r="8" ht="15" customHeight="1">
      <c r="A8" t="inlineStr">
        <is>
          <t>A 42668-2025</t>
        </is>
      </c>
      <c r="B8" s="1" t="n">
        <v>45907</v>
      </c>
      <c r="C8" s="1" t="n">
        <v>46192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HYPERLINK("https://klasma.github.io/Logging_1715/artfynd/A 42668-2025 artfynd.xlsx", "A 42668-2025")</f>
        <v/>
      </c>
      <c r="T8">
        <f>HYPERLINK("https://klasma.github.io/Logging_1715/kartor/A 42668-2025 karta.png", "A 42668-2025")</f>
        <v/>
      </c>
      <c r="V8">
        <f>HYPERLINK("https://klasma.github.io/Logging_1715/klagomål/A 42668-2025 FSC-klagomål.docx", "A 42668-2025")</f>
        <v/>
      </c>
      <c r="W8">
        <f>HYPERLINK("https://klasma.github.io/Logging_1715/klagomålsmail/A 42668-2025 FSC-klagomål mail.docx", "A 42668-2025")</f>
        <v/>
      </c>
      <c r="X8">
        <f>HYPERLINK("https://klasma.github.io/Logging_1715/tillsyn/A 42668-2025 tillsynsbegäran.docx", "A 42668-2025")</f>
        <v/>
      </c>
      <c r="Y8">
        <f>HYPERLINK("https://klasma.github.io/Logging_1715/tillsynsmail/A 42668-2025 tillsynsbegäran mail.docx", "A 42668-2025")</f>
        <v/>
      </c>
    </row>
    <row r="9" ht="15" customHeight="1">
      <c r="A9" t="inlineStr">
        <is>
          <t>A 8909-2025</t>
        </is>
      </c>
      <c r="B9" s="1" t="n">
        <v>45713</v>
      </c>
      <c r="C9" s="1" t="n">
        <v>46192</v>
      </c>
      <c r="D9" t="inlineStr">
        <is>
          <t>VÄRMLANDS LÄN</t>
        </is>
      </c>
      <c r="E9" t="inlineStr">
        <is>
          <t>KIL</t>
        </is>
      </c>
      <c r="G9" t="n">
        <v>22.6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HYPERLINK("https://klasma.github.io/Logging_1715/artfynd/A 8909-2025 artfynd.xlsx", "A 8909-2025")</f>
        <v/>
      </c>
      <c r="T9">
        <f>HYPERLINK("https://klasma.github.io/Logging_1715/kartor/A 8909-2025 karta.png", "A 8909-2025")</f>
        <v/>
      </c>
      <c r="V9">
        <f>HYPERLINK("https://klasma.github.io/Logging_1715/klagomål/A 8909-2025 FSC-klagomål.docx", "A 8909-2025")</f>
        <v/>
      </c>
      <c r="W9">
        <f>HYPERLINK("https://klasma.github.io/Logging_1715/klagomålsmail/A 8909-2025 FSC-klagomål mail.docx", "A 8909-2025")</f>
        <v/>
      </c>
      <c r="X9">
        <f>HYPERLINK("https://klasma.github.io/Logging_1715/tillsyn/A 8909-2025 tillsynsbegäran.docx", "A 8909-2025")</f>
        <v/>
      </c>
      <c r="Y9">
        <f>HYPERLINK("https://klasma.github.io/Logging_1715/tillsynsmail/A 8909-2025 tillsynsbegäran mail.docx", "A 8909-2025")</f>
        <v/>
      </c>
    </row>
    <row r="10" ht="15" customHeight="1">
      <c r="A10" t="inlineStr">
        <is>
          <t>A 54177-2023</t>
        </is>
      </c>
      <c r="B10" s="1" t="n">
        <v>45232</v>
      </c>
      <c r="C10" s="1" t="n">
        <v>46192</v>
      </c>
      <c r="D10" t="inlineStr">
        <is>
          <t>VÄRMLANDS LÄN</t>
        </is>
      </c>
      <c r="E10" t="inlineStr">
        <is>
          <t>KIL</t>
        </is>
      </c>
      <c r="G10" t="n">
        <v>3.6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HYPERLINK("https://klasma.github.io/Logging_1715/artfynd/A 54177-2023 artfynd.xlsx", "A 54177-2023")</f>
        <v/>
      </c>
      <c r="T10">
        <f>HYPERLINK("https://klasma.github.io/Logging_1715/kartor/A 54177-2023 karta.png", "A 54177-2023")</f>
        <v/>
      </c>
      <c r="V10">
        <f>HYPERLINK("https://klasma.github.io/Logging_1715/klagomål/A 54177-2023 FSC-klagomål.docx", "A 54177-2023")</f>
        <v/>
      </c>
      <c r="W10">
        <f>HYPERLINK("https://klasma.github.io/Logging_1715/klagomålsmail/A 54177-2023 FSC-klagomål mail.docx", "A 54177-2023")</f>
        <v/>
      </c>
      <c r="X10">
        <f>HYPERLINK("https://klasma.github.io/Logging_1715/tillsyn/A 54177-2023 tillsynsbegäran.docx", "A 54177-2023")</f>
        <v/>
      </c>
      <c r="Y10">
        <f>HYPERLINK("https://klasma.github.io/Logging_1715/tillsynsmail/A 54177-2023 tillsynsbegäran mail.docx", "A 54177-2023")</f>
        <v/>
      </c>
    </row>
    <row r="11" ht="15" customHeight="1">
      <c r="A11" t="inlineStr">
        <is>
          <t>A 40853-2024</t>
        </is>
      </c>
      <c r="B11" s="1" t="n">
        <v>45558</v>
      </c>
      <c r="C11" s="1" t="n">
        <v>46192</v>
      </c>
      <c r="D11" t="inlineStr">
        <is>
          <t>VÄRMLANDS LÄN</t>
        </is>
      </c>
      <c r="E11" t="inlineStr">
        <is>
          <t>KIL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HYPERLINK("https://klasma.github.io/Logging_1715/artfynd/A 40853-2024 artfynd.xlsx", "A 40853-2024")</f>
        <v/>
      </c>
      <c r="T11">
        <f>HYPERLINK("https://klasma.github.io/Logging_1715/kartor/A 40853-2024 karta.png", "A 40853-2024")</f>
        <v/>
      </c>
      <c r="V11">
        <f>HYPERLINK("https://klasma.github.io/Logging_1715/klagomål/A 40853-2024 FSC-klagomål.docx", "A 40853-2024")</f>
        <v/>
      </c>
      <c r="W11">
        <f>HYPERLINK("https://klasma.github.io/Logging_1715/klagomålsmail/A 40853-2024 FSC-klagomål mail.docx", "A 40853-2024")</f>
        <v/>
      </c>
      <c r="X11">
        <f>HYPERLINK("https://klasma.github.io/Logging_1715/tillsyn/A 40853-2024 tillsynsbegäran.docx", "A 40853-2024")</f>
        <v/>
      </c>
      <c r="Y11">
        <f>HYPERLINK("https://klasma.github.io/Logging_1715/tillsynsmail/A 40853-2024 tillsynsbegäran mail.docx", "A 40853-2024")</f>
        <v/>
      </c>
    </row>
    <row r="12" ht="15" customHeight="1">
      <c r="A12" t="inlineStr">
        <is>
          <t>A 56642-2022</t>
        </is>
      </c>
      <c r="B12" s="1" t="n">
        <v>44893</v>
      </c>
      <c r="C12" s="1" t="n">
        <v>46192</v>
      </c>
      <c r="D12" t="inlineStr">
        <is>
          <t>VÄRMLANDS LÄN</t>
        </is>
      </c>
      <c r="E12" t="inlineStr">
        <is>
          <t>KIL</t>
        </is>
      </c>
      <c r="F12" t="inlineStr">
        <is>
          <t>Bergvik skog väst AB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HYPERLINK("https://klasma.github.io/Logging_1715/artfynd/A 56642-2022 artfynd.xlsx", "A 56642-2022")</f>
        <v/>
      </c>
      <c r="T12">
        <f>HYPERLINK("https://klasma.github.io/Logging_1715/kartor/A 56642-2022 karta.png", "A 56642-2022")</f>
        <v/>
      </c>
      <c r="V12">
        <f>HYPERLINK("https://klasma.github.io/Logging_1715/klagomål/A 56642-2022 FSC-klagomål.docx", "A 56642-2022")</f>
        <v/>
      </c>
      <c r="W12">
        <f>HYPERLINK("https://klasma.github.io/Logging_1715/klagomålsmail/A 56642-2022 FSC-klagomål mail.docx", "A 56642-2022")</f>
        <v/>
      </c>
      <c r="X12">
        <f>HYPERLINK("https://klasma.github.io/Logging_1715/tillsyn/A 56642-2022 tillsynsbegäran.docx", "A 56642-2022")</f>
        <v/>
      </c>
      <c r="Y12">
        <f>HYPERLINK("https://klasma.github.io/Logging_1715/tillsynsmail/A 56642-2022 tillsynsbegäran mail.docx", "A 56642-2022")</f>
        <v/>
      </c>
    </row>
    <row r="13" ht="15" customHeight="1">
      <c r="A13" t="inlineStr">
        <is>
          <t>A 53498-2023</t>
        </is>
      </c>
      <c r="B13" s="1" t="n">
        <v>45230</v>
      </c>
      <c r="C13" s="1" t="n">
        <v>46192</v>
      </c>
      <c r="D13" t="inlineStr">
        <is>
          <t>VÄRMLANDS LÄN</t>
        </is>
      </c>
      <c r="E13" t="inlineStr">
        <is>
          <t>KIL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Brunfläckig pärlemorfjäril</t>
        </is>
      </c>
      <c r="S13">
        <f>HYPERLINK("https://klasma.github.io/Logging_1715/artfynd/A 53498-2023 artfynd.xlsx", "A 53498-2023")</f>
        <v/>
      </c>
      <c r="T13">
        <f>HYPERLINK("https://klasma.github.io/Logging_1715/kartor/A 53498-2023 karta.png", "A 53498-2023")</f>
        <v/>
      </c>
      <c r="V13">
        <f>HYPERLINK("https://klasma.github.io/Logging_1715/klagomål/A 53498-2023 FSC-klagomål.docx", "A 53498-2023")</f>
        <v/>
      </c>
      <c r="W13">
        <f>HYPERLINK("https://klasma.github.io/Logging_1715/klagomålsmail/A 53498-2023 FSC-klagomål mail.docx", "A 53498-2023")</f>
        <v/>
      </c>
      <c r="X13">
        <f>HYPERLINK("https://klasma.github.io/Logging_1715/tillsyn/A 53498-2023 tillsynsbegäran.docx", "A 53498-2023")</f>
        <v/>
      </c>
      <c r="Y13">
        <f>HYPERLINK("https://klasma.github.io/Logging_1715/tillsynsmail/A 53498-2023 tillsynsbegäran mail.docx", "A 53498-2023")</f>
        <v/>
      </c>
    </row>
    <row r="14" ht="15" customHeight="1">
      <c r="A14" t="inlineStr">
        <is>
          <t>A 1320-2023</t>
        </is>
      </c>
      <c r="B14" s="1" t="n">
        <v>44936</v>
      </c>
      <c r="C14" s="1" t="n">
        <v>46192</v>
      </c>
      <c r="D14" t="inlineStr">
        <is>
          <t>VÄRMLANDS LÄN</t>
        </is>
      </c>
      <c r="E14" t="inlineStr">
        <is>
          <t>KIL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HYPERLINK("https://klasma.github.io/Logging_1715/artfynd/A 1320-2023 artfynd.xlsx", "A 1320-2023")</f>
        <v/>
      </c>
      <c r="T14">
        <f>HYPERLINK("https://klasma.github.io/Logging_1715/kartor/A 1320-2023 karta.png", "A 1320-2023")</f>
        <v/>
      </c>
      <c r="V14">
        <f>HYPERLINK("https://klasma.github.io/Logging_1715/klagomål/A 1320-2023 FSC-klagomål.docx", "A 1320-2023")</f>
        <v/>
      </c>
      <c r="W14">
        <f>HYPERLINK("https://klasma.github.io/Logging_1715/klagomålsmail/A 1320-2023 FSC-klagomål mail.docx", "A 1320-2023")</f>
        <v/>
      </c>
      <c r="X14">
        <f>HYPERLINK("https://klasma.github.io/Logging_1715/tillsyn/A 1320-2023 tillsynsbegäran.docx", "A 1320-2023")</f>
        <v/>
      </c>
      <c r="Y14">
        <f>HYPERLINK("https://klasma.github.io/Logging_1715/tillsynsmail/A 1320-2023 tillsynsbegäran mail.docx", "A 1320-2023")</f>
        <v/>
      </c>
    </row>
    <row r="15" ht="15" customHeight="1">
      <c r="A15" t="inlineStr">
        <is>
          <t>A 11330-2024</t>
        </is>
      </c>
      <c r="B15" s="1" t="n">
        <v>45371</v>
      </c>
      <c r="C15" s="1" t="n">
        <v>46192</v>
      </c>
      <c r="D15" t="inlineStr">
        <is>
          <t>VÄRMLANDS LÄN</t>
        </is>
      </c>
      <c r="E15" t="inlineStr">
        <is>
          <t>KIL</t>
        </is>
      </c>
      <c r="F15" t="inlineStr">
        <is>
          <t>Kyrkan</t>
        </is>
      </c>
      <c r="G15" t="n">
        <v>6.9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HYPERLINK("https://klasma.github.io/Logging_1715/artfynd/A 11330-2024 artfynd.xlsx", "A 11330-2024")</f>
        <v/>
      </c>
      <c r="T15">
        <f>HYPERLINK("https://klasma.github.io/Logging_1715/kartor/A 11330-2024 karta.png", "A 11330-2024")</f>
        <v/>
      </c>
      <c r="V15">
        <f>HYPERLINK("https://klasma.github.io/Logging_1715/klagomål/A 11330-2024 FSC-klagomål.docx", "A 11330-2024")</f>
        <v/>
      </c>
      <c r="W15">
        <f>HYPERLINK("https://klasma.github.io/Logging_1715/klagomålsmail/A 11330-2024 FSC-klagomål mail.docx", "A 11330-2024")</f>
        <v/>
      </c>
      <c r="X15">
        <f>HYPERLINK("https://klasma.github.io/Logging_1715/tillsyn/A 11330-2024 tillsynsbegäran.docx", "A 11330-2024")</f>
        <v/>
      </c>
      <c r="Y15">
        <f>HYPERLINK("https://klasma.github.io/Logging_1715/tillsynsmail/A 11330-2024 tillsynsbegäran mail.docx", "A 11330-2024")</f>
        <v/>
      </c>
    </row>
    <row r="16" ht="15" customHeight="1">
      <c r="A16" t="inlineStr">
        <is>
          <t>A 35453-2024</t>
        </is>
      </c>
      <c r="B16" s="1" t="n">
        <v>45531</v>
      </c>
      <c r="C16" s="1" t="n">
        <v>46192</v>
      </c>
      <c r="D16" t="inlineStr">
        <is>
          <t>VÄRMLANDS LÄN</t>
        </is>
      </c>
      <c r="E16" t="inlineStr">
        <is>
          <t>KIL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HYPERLINK("https://klasma.github.io/Logging_1715/artfynd/A 35453-2024 artfynd.xlsx", "A 35453-2024")</f>
        <v/>
      </c>
      <c r="T16">
        <f>HYPERLINK("https://klasma.github.io/Logging_1715/kartor/A 35453-2024 karta.png", "A 35453-2024")</f>
        <v/>
      </c>
      <c r="V16">
        <f>HYPERLINK("https://klasma.github.io/Logging_1715/klagomål/A 35453-2024 FSC-klagomål.docx", "A 35453-2024")</f>
        <v/>
      </c>
      <c r="W16">
        <f>HYPERLINK("https://klasma.github.io/Logging_1715/klagomålsmail/A 35453-2024 FSC-klagomål mail.docx", "A 35453-2024")</f>
        <v/>
      </c>
      <c r="X16">
        <f>HYPERLINK("https://klasma.github.io/Logging_1715/tillsyn/A 35453-2024 tillsynsbegäran.docx", "A 35453-2024")</f>
        <v/>
      </c>
      <c r="Y16">
        <f>HYPERLINK("https://klasma.github.io/Logging_1715/tillsynsmail/A 35453-2024 tillsynsbegäran mail.docx", "A 35453-2024")</f>
        <v/>
      </c>
      <c r="Z16">
        <f>HYPERLINK("https://klasma.github.io/Logging_1715/fåglar/A 35453-2024 prioriterade fågelarter.docx", "A 35453-2024")</f>
        <v/>
      </c>
    </row>
    <row r="17" ht="15" customHeight="1">
      <c r="A17" t="inlineStr">
        <is>
          <t>A 62010-2022</t>
        </is>
      </c>
      <c r="B17" s="1" t="n">
        <v>44914</v>
      </c>
      <c r="C17" s="1" t="n">
        <v>46192</v>
      </c>
      <c r="D17" t="inlineStr">
        <is>
          <t>VÄRMLANDS LÄN</t>
        </is>
      </c>
      <c r="E17" t="inlineStr">
        <is>
          <t>KIL</t>
        </is>
      </c>
      <c r="G17" t="n">
        <v>7.8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HYPERLINK("https://klasma.github.io/Logging_1715/artfynd/A 62010-2022 artfynd.xlsx", "A 62010-2022")</f>
        <v/>
      </c>
      <c r="T17">
        <f>HYPERLINK("https://klasma.github.io/Logging_1715/kartor/A 62010-2022 karta.png", "A 62010-2022")</f>
        <v/>
      </c>
      <c r="V17">
        <f>HYPERLINK("https://klasma.github.io/Logging_1715/klagomål/A 62010-2022 FSC-klagomål.docx", "A 62010-2022")</f>
        <v/>
      </c>
      <c r="W17">
        <f>HYPERLINK("https://klasma.github.io/Logging_1715/klagomålsmail/A 62010-2022 FSC-klagomål mail.docx", "A 62010-2022")</f>
        <v/>
      </c>
      <c r="X17">
        <f>HYPERLINK("https://klasma.github.io/Logging_1715/tillsyn/A 62010-2022 tillsynsbegäran.docx", "A 62010-2022")</f>
        <v/>
      </c>
      <c r="Y17">
        <f>HYPERLINK("https://klasma.github.io/Logging_1715/tillsynsmail/A 62010-2022 tillsynsbegäran mail.docx", "A 62010-2022")</f>
        <v/>
      </c>
    </row>
    <row r="18" ht="15" customHeight="1">
      <c r="A18" t="inlineStr">
        <is>
          <t>A 64553-2021</t>
        </is>
      </c>
      <c r="B18" s="1" t="n">
        <v>44511</v>
      </c>
      <c r="C18" s="1" t="n">
        <v>46192</v>
      </c>
      <c r="D18" t="inlineStr">
        <is>
          <t>VÄRMLANDS LÄN</t>
        </is>
      </c>
      <c r="E18" t="inlineStr">
        <is>
          <t>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34607-2021</t>
        </is>
      </c>
      <c r="B19" s="1" t="n">
        <v>44382</v>
      </c>
      <c r="C19" s="1" t="n">
        <v>46192</v>
      </c>
      <c r="D19" t="inlineStr">
        <is>
          <t>VÄRMLANDS LÄN</t>
        </is>
      </c>
      <c r="E19" t="inlineStr">
        <is>
          <t>KIL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51174-2021</t>
        </is>
      </c>
      <c r="B20" s="1" t="n">
        <v>44461</v>
      </c>
      <c r="C20" s="1" t="n">
        <v>46192</v>
      </c>
      <c r="D20" t="inlineStr">
        <is>
          <t>VÄRMLANDS LÄN</t>
        </is>
      </c>
      <c r="E20" t="inlineStr">
        <is>
          <t>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16874-2022</t>
        </is>
      </c>
      <c r="B21" s="1" t="n">
        <v>44675</v>
      </c>
      <c r="C21" s="1" t="n">
        <v>46192</v>
      </c>
      <c r="D21" t="inlineStr">
        <is>
          <t>VÄRMLANDS LÄN</t>
        </is>
      </c>
      <c r="E21" t="inlineStr">
        <is>
          <t>KIL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61638-2021</t>
        </is>
      </c>
      <c r="B22" s="1" t="n">
        <v>44501</v>
      </c>
      <c r="C22" s="1" t="n">
        <v>46192</v>
      </c>
      <c r="D22" t="inlineStr">
        <is>
          <t>VÄRMLANDS LÄN</t>
        </is>
      </c>
      <c r="E22" t="inlineStr">
        <is>
          <t>KIL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38635-2021</t>
        </is>
      </c>
      <c r="B23" s="1" t="n">
        <v>44410</v>
      </c>
      <c r="C23" s="1" t="n">
        <v>46192</v>
      </c>
      <c r="D23" t="inlineStr">
        <is>
          <t>VÄRMLANDS LÄN</t>
        </is>
      </c>
      <c r="E23" t="inlineStr">
        <is>
          <t>KIL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68728-2021</t>
        </is>
      </c>
      <c r="B24" s="1" t="n">
        <v>44529</v>
      </c>
      <c r="C24" s="1" t="n">
        <v>46192</v>
      </c>
      <c r="D24" t="inlineStr">
        <is>
          <t>VÄRMLANDS LÄN</t>
        </is>
      </c>
      <c r="E24" t="inlineStr">
        <is>
          <t>KIL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5415-2022</t>
        </is>
      </c>
      <c r="B25" s="1" t="n">
        <v>44594</v>
      </c>
      <c r="C25" s="1" t="n">
        <v>46192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65271-2021</t>
        </is>
      </c>
      <c r="B26" s="1" t="n">
        <v>44515</v>
      </c>
      <c r="C26" s="1" t="n">
        <v>46192</v>
      </c>
      <c r="D26" t="inlineStr">
        <is>
          <t>VÄRMLANDS LÄN</t>
        </is>
      </c>
      <c r="E26" t="inlineStr">
        <is>
          <t>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1256-2022</t>
        </is>
      </c>
      <c r="B27" s="1" t="n">
        <v>44572</v>
      </c>
      <c r="C27" s="1" t="n">
        <v>46192</v>
      </c>
      <c r="D27" t="inlineStr">
        <is>
          <t>VÄRMLANDS LÄN</t>
        </is>
      </c>
      <c r="E27" t="inlineStr">
        <is>
          <t>KIL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46192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</v>
      </c>
      <c r="C29" s="1" t="n">
        <v>46192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55070-2021</t>
        </is>
      </c>
      <c r="B30" s="1" t="n">
        <v>44474</v>
      </c>
      <c r="C30" s="1" t="n">
        <v>46192</v>
      </c>
      <c r="D30" t="inlineStr">
        <is>
          <t>VÄRMLANDS LÄN</t>
        </is>
      </c>
      <c r="E30" t="inlineStr">
        <is>
          <t>KIL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57069-2021</t>
        </is>
      </c>
      <c r="B31" s="1" t="n">
        <v>44482</v>
      </c>
      <c r="C31" s="1" t="n">
        <v>46192</v>
      </c>
      <c r="D31" t="inlineStr">
        <is>
          <t>VÄRMLANDS LÄN</t>
        </is>
      </c>
      <c r="E31" t="inlineStr">
        <is>
          <t>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45773-2022</t>
        </is>
      </c>
      <c r="B32" s="1" t="n">
        <v>44846</v>
      </c>
      <c r="C32" s="1" t="n">
        <v>46192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64508-2021</t>
        </is>
      </c>
      <c r="B33" s="1" t="n">
        <v>44511</v>
      </c>
      <c r="C33" s="1" t="n">
        <v>46192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46192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46192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46192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46192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46192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</v>
      </c>
      <c r="C39" s="1" t="n">
        <v>46192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65904-2021</t>
        </is>
      </c>
      <c r="B40" s="1" t="n">
        <v>44517</v>
      </c>
      <c r="C40" s="1" t="n">
        <v>46192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43667-2021</t>
        </is>
      </c>
      <c r="B41" s="1" t="n">
        <v>44433</v>
      </c>
      <c r="C41" s="1" t="n">
        <v>46192</v>
      </c>
      <c r="D41" t="inlineStr">
        <is>
          <t>VÄRMLANDS LÄN</t>
        </is>
      </c>
      <c r="E41" t="inlineStr">
        <is>
          <t>KIL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4450-2022</t>
        </is>
      </c>
      <c r="B42" s="1" t="n">
        <v>44589</v>
      </c>
      <c r="C42" s="1" t="n">
        <v>46192</v>
      </c>
      <c r="D42" t="inlineStr">
        <is>
          <t>VÄRMLANDS LÄN</t>
        </is>
      </c>
      <c r="E42" t="inlineStr">
        <is>
          <t>KIL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57314-2021</t>
        </is>
      </c>
      <c r="B43" s="1" t="n">
        <v>44483</v>
      </c>
      <c r="C43" s="1" t="n">
        <v>46192</v>
      </c>
      <c r="D43" t="inlineStr">
        <is>
          <t>VÄRMLANDS LÄN</t>
        </is>
      </c>
      <c r="E43" t="inlineStr">
        <is>
          <t>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64543-2021</t>
        </is>
      </c>
      <c r="B44" s="1" t="n">
        <v>44511</v>
      </c>
      <c r="C44" s="1" t="n">
        <v>46192</v>
      </c>
      <c r="D44" t="inlineStr">
        <is>
          <t>VÄRMLANDS LÄN</t>
        </is>
      </c>
      <c r="E44" t="inlineStr">
        <is>
          <t>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64559-2021</t>
        </is>
      </c>
      <c r="B45" s="1" t="n">
        <v>44511</v>
      </c>
      <c r="C45" s="1" t="n">
        <v>46192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65900-2021</t>
        </is>
      </c>
      <c r="B46" s="1" t="n">
        <v>44517</v>
      </c>
      <c r="C46" s="1" t="n">
        <v>46192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40107-2022</t>
        </is>
      </c>
      <c r="B47" s="1" t="n">
        <v>44820</v>
      </c>
      <c r="C47" s="1" t="n">
        <v>46192</v>
      </c>
      <c r="D47" t="inlineStr">
        <is>
          <t>VÄRMLANDS LÄN</t>
        </is>
      </c>
      <c r="E47" t="inlineStr">
        <is>
          <t>KIL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4448-2022</t>
        </is>
      </c>
      <c r="B48" s="1" t="n">
        <v>44589</v>
      </c>
      <c r="C48" s="1" t="n">
        <v>46192</v>
      </c>
      <c r="D48" t="inlineStr">
        <is>
          <t>VÄRMLANDS LÄN</t>
        </is>
      </c>
      <c r="E48" t="inlineStr">
        <is>
          <t>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55059-2021</t>
        </is>
      </c>
      <c r="B49" s="1" t="n">
        <v>44474</v>
      </c>
      <c r="C49" s="1" t="n">
        <v>46192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64552-2021</t>
        </is>
      </c>
      <c r="B50" s="1" t="n">
        <v>44511</v>
      </c>
      <c r="C50" s="1" t="n">
        <v>46192</v>
      </c>
      <c r="D50" t="inlineStr">
        <is>
          <t>VÄRMLANDS LÄN</t>
        </is>
      </c>
      <c r="E50" t="inlineStr">
        <is>
          <t>KIL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62135-2021</t>
        </is>
      </c>
      <c r="B51" s="1" t="n">
        <v>44502</v>
      </c>
      <c r="C51" s="1" t="n">
        <v>46192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66809-2021</t>
        </is>
      </c>
      <c r="B52" s="1" t="n">
        <v>44522</v>
      </c>
      <c r="C52" s="1" t="n">
        <v>46192</v>
      </c>
      <c r="D52" t="inlineStr">
        <is>
          <t>VÄRMLANDS LÄN</t>
        </is>
      </c>
      <c r="E52" t="inlineStr">
        <is>
          <t>KIL</t>
        </is>
      </c>
      <c r="G52" t="n">
        <v>13.7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</v>
      </c>
      <c r="C53" s="1" t="n">
        <v>46192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73022-2021</t>
        </is>
      </c>
      <c r="B54" s="1" t="n">
        <v>44550</v>
      </c>
      <c r="C54" s="1" t="n">
        <v>46192</v>
      </c>
      <c r="D54" t="inlineStr">
        <is>
          <t>VÄRMLANDS LÄN</t>
        </is>
      </c>
      <c r="E54" t="inlineStr">
        <is>
          <t>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46192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65891-2021</t>
        </is>
      </c>
      <c r="B56" s="1" t="n">
        <v>44517</v>
      </c>
      <c r="C56" s="1" t="n">
        <v>46192</v>
      </c>
      <c r="D56" t="inlineStr">
        <is>
          <t>VÄRMLANDS LÄN</t>
        </is>
      </c>
      <c r="E56" t="inlineStr">
        <is>
          <t>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57743-2021</t>
        </is>
      </c>
      <c r="B57" s="1" t="n">
        <v>44484</v>
      </c>
      <c r="C57" s="1" t="n">
        <v>46192</v>
      </c>
      <c r="D57" t="inlineStr">
        <is>
          <t>VÄRMLANDS LÄN</t>
        </is>
      </c>
      <c r="E57" t="inlineStr">
        <is>
          <t>KIL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58679-2021</t>
        </is>
      </c>
      <c r="B58" s="1" t="n">
        <v>44489</v>
      </c>
      <c r="C58" s="1" t="n">
        <v>46192</v>
      </c>
      <c r="D58" t="inlineStr">
        <is>
          <t>VÄRMLANDS LÄN</t>
        </is>
      </c>
      <c r="E58" t="inlineStr">
        <is>
          <t>KIL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39492-2023</t>
        </is>
      </c>
      <c r="B59" s="1" t="n">
        <v>45166</v>
      </c>
      <c r="C59" s="1" t="n">
        <v>46192</v>
      </c>
      <c r="D59" t="inlineStr">
        <is>
          <t>VÄRMLANDS LÄN</t>
        </is>
      </c>
      <c r="E59" t="inlineStr">
        <is>
          <t>KIL</t>
        </is>
      </c>
      <c r="F59" t="inlineStr">
        <is>
          <t>Kyrkan</t>
        </is>
      </c>
      <c r="G59" t="n">
        <v>24.9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4445-2022</t>
        </is>
      </c>
      <c r="B60" s="1" t="n">
        <v>44589</v>
      </c>
      <c r="C60" s="1" t="n">
        <v>46192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35817-2021</t>
        </is>
      </c>
      <c r="B61" s="1" t="n">
        <v>44386</v>
      </c>
      <c r="C61" s="1" t="n">
        <v>46192</v>
      </c>
      <c r="D61" t="inlineStr">
        <is>
          <t>VÄRMLANDS LÄN</t>
        </is>
      </c>
      <c r="E61" t="inlineStr">
        <is>
          <t>KIL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57065-2021</t>
        </is>
      </c>
      <c r="B62" s="1" t="n">
        <v>44482</v>
      </c>
      <c r="C62" s="1" t="n">
        <v>46192</v>
      </c>
      <c r="D62" t="inlineStr">
        <is>
          <t>VÄRMLANDS LÄN</t>
        </is>
      </c>
      <c r="E62" t="inlineStr">
        <is>
          <t>KIL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52526-2021</t>
        </is>
      </c>
      <c r="B63" s="1" t="n">
        <v>44466</v>
      </c>
      <c r="C63" s="1" t="n">
        <v>46192</v>
      </c>
      <c r="D63" t="inlineStr">
        <is>
          <t>VÄRMLANDS LÄN</t>
        </is>
      </c>
      <c r="E63" t="inlineStr">
        <is>
          <t>KIL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64518-2021</t>
        </is>
      </c>
      <c r="B64" s="1" t="n">
        <v>44511</v>
      </c>
      <c r="C64" s="1" t="n">
        <v>46192</v>
      </c>
      <c r="D64" t="inlineStr">
        <is>
          <t>VÄRMLANDS LÄN</t>
        </is>
      </c>
      <c r="E64" t="inlineStr">
        <is>
          <t>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25409-2024</t>
        </is>
      </c>
      <c r="B65" s="1" t="n">
        <v>45463</v>
      </c>
      <c r="C65" s="1" t="n">
        <v>46192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2263-2023</t>
        </is>
      </c>
      <c r="B66" s="1" t="n">
        <v>44941</v>
      </c>
      <c r="C66" s="1" t="n">
        <v>46192</v>
      </c>
      <c r="D66" t="inlineStr">
        <is>
          <t>VÄRMLANDS LÄN</t>
        </is>
      </c>
      <c r="E66" t="inlineStr">
        <is>
          <t>KIL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37962-2022</t>
        </is>
      </c>
      <c r="B67" s="1" t="n">
        <v>44811</v>
      </c>
      <c r="C67" s="1" t="n">
        <v>46192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56762-2021</t>
        </is>
      </c>
      <c r="B68" s="1" t="n">
        <v>44481</v>
      </c>
      <c r="C68" s="1" t="n">
        <v>46192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71728-2021</t>
        </is>
      </c>
      <c r="B69" s="1" t="n">
        <v>44543</v>
      </c>
      <c r="C69" s="1" t="n">
        <v>46192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50461-2024</t>
        </is>
      </c>
      <c r="B70" s="1" t="n">
        <v>45601</v>
      </c>
      <c r="C70" s="1" t="n">
        <v>46192</v>
      </c>
      <c r="D70" t="inlineStr">
        <is>
          <t>VÄRMLANDS LÄN</t>
        </is>
      </c>
      <c r="E70" t="inlineStr">
        <is>
          <t>KIL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61229-2022</t>
        </is>
      </c>
      <c r="B71" s="1" t="n">
        <v>44915</v>
      </c>
      <c r="C71" s="1" t="n">
        <v>46192</v>
      </c>
      <c r="D71" t="inlineStr">
        <is>
          <t>VÄRMLANDS LÄN</t>
        </is>
      </c>
      <c r="E71" t="inlineStr">
        <is>
          <t>KIL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46445-2024</t>
        </is>
      </c>
      <c r="B72" s="1" t="n">
        <v>45582</v>
      </c>
      <c r="C72" s="1" t="n">
        <v>46192</v>
      </c>
      <c r="D72" t="inlineStr">
        <is>
          <t>VÄRMLANDS LÄN</t>
        </is>
      </c>
      <c r="E72" t="inlineStr">
        <is>
          <t>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12280-2024</t>
        </is>
      </c>
      <c r="B73" s="1" t="n">
        <v>45378</v>
      </c>
      <c r="C73" s="1" t="n">
        <v>46192</v>
      </c>
      <c r="D73" t="inlineStr">
        <is>
          <t>VÄRMLANDS LÄN</t>
        </is>
      </c>
      <c r="E73" t="inlineStr">
        <is>
          <t>KIL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4069-2025</t>
        </is>
      </c>
      <c r="B74" s="1" t="n">
        <v>45684</v>
      </c>
      <c r="C74" s="1" t="n">
        <v>46192</v>
      </c>
      <c r="D74" t="inlineStr">
        <is>
          <t>VÄRMLANDS LÄN</t>
        </is>
      </c>
      <c r="E74" t="inlineStr">
        <is>
          <t>KIL</t>
        </is>
      </c>
      <c r="F74" t="inlineStr">
        <is>
          <t>Kommuner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44660-2024</t>
        </is>
      </c>
      <c r="B75" s="1" t="n">
        <v>45574</v>
      </c>
      <c r="C75" s="1" t="n">
        <v>46192</v>
      </c>
      <c r="D75" t="inlineStr">
        <is>
          <t>VÄRMLANDS LÄN</t>
        </is>
      </c>
      <c r="E75" t="inlineStr">
        <is>
          <t>KIL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44666-2024</t>
        </is>
      </c>
      <c r="B76" s="1" t="n">
        <v>45574</v>
      </c>
      <c r="C76" s="1" t="n">
        <v>46192</v>
      </c>
      <c r="D76" t="inlineStr">
        <is>
          <t>VÄRMLANDS LÄN</t>
        </is>
      </c>
      <c r="E76" t="inlineStr">
        <is>
          <t>KIL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20745-2024</t>
        </is>
      </c>
      <c r="B77" s="1" t="n">
        <v>45436</v>
      </c>
      <c r="C77" s="1" t="n">
        <v>46192</v>
      </c>
      <c r="D77" t="inlineStr">
        <is>
          <t>VÄRMLANDS LÄN</t>
        </is>
      </c>
      <c r="E77" t="inlineStr">
        <is>
          <t>KIL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47786-2025</t>
        </is>
      </c>
      <c r="B78" s="1" t="n">
        <v>45931</v>
      </c>
      <c r="C78" s="1" t="n">
        <v>46192</v>
      </c>
      <c r="D78" t="inlineStr">
        <is>
          <t>VÄRMLANDS LÄN</t>
        </is>
      </c>
      <c r="E78" t="inlineStr">
        <is>
          <t>KIL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47801-2025</t>
        </is>
      </c>
      <c r="B79" s="1" t="n">
        <v>45931</v>
      </c>
      <c r="C79" s="1" t="n">
        <v>46192</v>
      </c>
      <c r="D79" t="inlineStr">
        <is>
          <t>VÄRMLANDS LÄN</t>
        </is>
      </c>
      <c r="E79" t="inlineStr">
        <is>
          <t>KIL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47704-2025</t>
        </is>
      </c>
      <c r="B80" s="1" t="n">
        <v>45931</v>
      </c>
      <c r="C80" s="1" t="n">
        <v>46192</v>
      </c>
      <c r="D80" t="inlineStr">
        <is>
          <t>VÄRMLANDS LÄN</t>
        </is>
      </c>
      <c r="E80" t="inlineStr">
        <is>
          <t>KIL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47722-2025</t>
        </is>
      </c>
      <c r="B81" s="1" t="n">
        <v>45931</v>
      </c>
      <c r="C81" s="1" t="n">
        <v>46192</v>
      </c>
      <c r="D81" t="inlineStr">
        <is>
          <t>VÄRMLANDS LÄN</t>
        </is>
      </c>
      <c r="E81" t="inlineStr">
        <is>
          <t>KIL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52438-2022</t>
        </is>
      </c>
      <c r="B82" s="1" t="n">
        <v>44874</v>
      </c>
      <c r="C82" s="1" t="n">
        <v>46192</v>
      </c>
      <c r="D82" t="inlineStr">
        <is>
          <t>VÄRMLANDS LÄN</t>
        </is>
      </c>
      <c r="E82" t="inlineStr">
        <is>
          <t>KIL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47798-2025</t>
        </is>
      </c>
      <c r="B83" s="1" t="n">
        <v>45931</v>
      </c>
      <c r="C83" s="1" t="n">
        <v>46192</v>
      </c>
      <c r="D83" t="inlineStr">
        <is>
          <t>VÄRMLANDS LÄN</t>
        </is>
      </c>
      <c r="E83" t="inlineStr">
        <is>
          <t>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47804-2025</t>
        </is>
      </c>
      <c r="B84" s="1" t="n">
        <v>45931</v>
      </c>
      <c r="C84" s="1" t="n">
        <v>46192</v>
      </c>
      <c r="D84" t="inlineStr">
        <is>
          <t>VÄRMLANDS LÄN</t>
        </is>
      </c>
      <c r="E84" t="inlineStr">
        <is>
          <t>KIL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47784-2025</t>
        </is>
      </c>
      <c r="B85" s="1" t="n">
        <v>45931</v>
      </c>
      <c r="C85" s="1" t="n">
        <v>46192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48427-2025</t>
        </is>
      </c>
      <c r="B86" s="1" t="n">
        <v>45934</v>
      </c>
      <c r="C86" s="1" t="n">
        <v>46192</v>
      </c>
      <c r="D86" t="inlineStr">
        <is>
          <t>VÄRMLANDS LÄN</t>
        </is>
      </c>
      <c r="E86" t="inlineStr">
        <is>
          <t>KIL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40742-2025</t>
        </is>
      </c>
      <c r="B87" s="1" t="n">
        <v>45897</v>
      </c>
      <c r="C87" s="1" t="n">
        <v>46192</v>
      </c>
      <c r="D87" t="inlineStr">
        <is>
          <t>VÄRMLANDS LÄN</t>
        </is>
      </c>
      <c r="E87" t="inlineStr">
        <is>
          <t>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17240-2025</t>
        </is>
      </c>
      <c r="B88" s="1" t="n">
        <v>45756</v>
      </c>
      <c r="C88" s="1" t="n">
        <v>46192</v>
      </c>
      <c r="D88" t="inlineStr">
        <is>
          <t>VÄRMLANDS LÄN</t>
        </is>
      </c>
      <c r="E88" t="inlineStr">
        <is>
          <t>KIL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59061-2023</t>
        </is>
      </c>
      <c r="B89" s="1" t="n">
        <v>45252</v>
      </c>
      <c r="C89" s="1" t="n">
        <v>46192</v>
      </c>
      <c r="D89" t="inlineStr">
        <is>
          <t>VÄRMLANDS LÄN</t>
        </is>
      </c>
      <c r="E89" t="inlineStr">
        <is>
          <t>KIL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50636-2025</t>
        </is>
      </c>
      <c r="B90" s="1" t="n">
        <v>45945</v>
      </c>
      <c r="C90" s="1" t="n">
        <v>46192</v>
      </c>
      <c r="D90" t="inlineStr">
        <is>
          <t>VÄRMLANDS LÄN</t>
        </is>
      </c>
      <c r="E90" t="inlineStr">
        <is>
          <t>KIL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3-2023</t>
        </is>
      </c>
      <c r="B91" s="1" t="n">
        <v>44927</v>
      </c>
      <c r="C91" s="1" t="n">
        <v>46192</v>
      </c>
      <c r="D91" t="inlineStr">
        <is>
          <t>VÄRMLANDS LÄN</t>
        </is>
      </c>
      <c r="E91" t="inlineStr">
        <is>
          <t>KIL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14651-2024</t>
        </is>
      </c>
      <c r="B92" s="1" t="n">
        <v>45397</v>
      </c>
      <c r="C92" s="1" t="n">
        <v>46192</v>
      </c>
      <c r="D92" t="inlineStr">
        <is>
          <t>VÄRMLANDS LÄN</t>
        </is>
      </c>
      <c r="E92" t="inlineStr">
        <is>
          <t>KIL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50252-2024</t>
        </is>
      </c>
      <c r="B93" s="1" t="n">
        <v>45600</v>
      </c>
      <c r="C93" s="1" t="n">
        <v>46192</v>
      </c>
      <c r="D93" t="inlineStr">
        <is>
          <t>VÄRMLANDS LÄN</t>
        </is>
      </c>
      <c r="E93" t="inlineStr">
        <is>
          <t>KIL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46288-2022</t>
        </is>
      </c>
      <c r="B94" s="1" t="n">
        <v>44847</v>
      </c>
      <c r="C94" s="1" t="n">
        <v>46192</v>
      </c>
      <c r="D94" t="inlineStr">
        <is>
          <t>VÄRMLANDS LÄN</t>
        </is>
      </c>
      <c r="E94" t="inlineStr">
        <is>
          <t>KIL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46290-2022</t>
        </is>
      </c>
      <c r="B95" s="1" t="n">
        <v>44847</v>
      </c>
      <c r="C95" s="1" t="n">
        <v>46192</v>
      </c>
      <c r="D95" t="inlineStr">
        <is>
          <t>VÄRMLANDS LÄN</t>
        </is>
      </c>
      <c r="E95" t="inlineStr">
        <is>
          <t>KIL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18117-2025</t>
        </is>
      </c>
      <c r="B96" s="1" t="n">
        <v>45761</v>
      </c>
      <c r="C96" s="1" t="n">
        <v>46192</v>
      </c>
      <c r="D96" t="inlineStr">
        <is>
          <t>VÄRMLANDS LÄN</t>
        </is>
      </c>
      <c r="E96" t="inlineStr">
        <is>
          <t>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52621-2025</t>
        </is>
      </c>
      <c r="B97" s="1" t="n">
        <v>45953</v>
      </c>
      <c r="C97" s="1" t="n">
        <v>46192</v>
      </c>
      <c r="D97" t="inlineStr">
        <is>
          <t>VÄRMLANDS LÄN</t>
        </is>
      </c>
      <c r="E97" t="inlineStr">
        <is>
          <t>KIL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52622-2025</t>
        </is>
      </c>
      <c r="B98" s="1" t="n">
        <v>45953</v>
      </c>
      <c r="C98" s="1" t="n">
        <v>46192</v>
      </c>
      <c r="D98" t="inlineStr">
        <is>
          <t>VÄRMLANDS LÄN</t>
        </is>
      </c>
      <c r="E98" t="inlineStr">
        <is>
          <t>KIL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3996-2022</t>
        </is>
      </c>
      <c r="B99" s="1" t="n">
        <v>44587</v>
      </c>
      <c r="C99" s="1" t="n">
        <v>46192</v>
      </c>
      <c r="D99" t="inlineStr">
        <is>
          <t>VÄRMLANDS LÄN</t>
        </is>
      </c>
      <c r="E99" t="inlineStr">
        <is>
          <t>KIL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52697-2025</t>
        </is>
      </c>
      <c r="B100" s="1" t="n">
        <v>45956</v>
      </c>
      <c r="C100" s="1" t="n">
        <v>46192</v>
      </c>
      <c r="D100" t="inlineStr">
        <is>
          <t>VÄRMLANDS LÄN</t>
        </is>
      </c>
      <c r="E100" t="inlineStr">
        <is>
          <t>KIL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15472-2025</t>
        </is>
      </c>
      <c r="B101" s="1" t="n">
        <v>45747</v>
      </c>
      <c r="C101" s="1" t="n">
        <v>46192</v>
      </c>
      <c r="D101" t="inlineStr">
        <is>
          <t>VÄRMLANDS LÄN</t>
        </is>
      </c>
      <c r="E101" t="inlineStr">
        <is>
          <t>KIL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26270-2022</t>
        </is>
      </c>
      <c r="B102" s="1" t="n">
        <v>44735</v>
      </c>
      <c r="C102" s="1" t="n">
        <v>46192</v>
      </c>
      <c r="D102" t="inlineStr">
        <is>
          <t>VÄRMLANDS LÄN</t>
        </is>
      </c>
      <c r="E102" t="inlineStr">
        <is>
          <t>KIL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55306-2024</t>
        </is>
      </c>
      <c r="B103" s="1" t="n">
        <v>45621</v>
      </c>
      <c r="C103" s="1" t="n">
        <v>46192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57211-2024</t>
        </is>
      </c>
      <c r="B104" s="1" t="n">
        <v>45629</v>
      </c>
      <c r="C104" s="1" t="n">
        <v>46192</v>
      </c>
      <c r="D104" t="inlineStr">
        <is>
          <t>VÄRMLANDS LÄN</t>
        </is>
      </c>
      <c r="E104" t="inlineStr">
        <is>
          <t>KIL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53839-2025</t>
        </is>
      </c>
      <c r="B105" s="1" t="n">
        <v>45961</v>
      </c>
      <c r="C105" s="1" t="n">
        <v>46192</v>
      </c>
      <c r="D105" t="inlineStr">
        <is>
          <t>VÄRMLANDS LÄN</t>
        </is>
      </c>
      <c r="E105" t="inlineStr">
        <is>
          <t>KIL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45786-2025</t>
        </is>
      </c>
      <c r="B106" s="1" t="n">
        <v>45923</v>
      </c>
      <c r="C106" s="1" t="n">
        <v>46192</v>
      </c>
      <c r="D106" t="inlineStr">
        <is>
          <t>VÄRMLANDS LÄN</t>
        </is>
      </c>
      <c r="E106" t="inlineStr">
        <is>
          <t>KIL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37620-2024</t>
        </is>
      </c>
      <c r="B107" s="1" t="n">
        <v>45541</v>
      </c>
      <c r="C107" s="1" t="n">
        <v>46192</v>
      </c>
      <c r="D107" t="inlineStr">
        <is>
          <t>VÄRMLANDS LÄN</t>
        </is>
      </c>
      <c r="E107" t="inlineStr">
        <is>
          <t>KIL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37622-2024</t>
        </is>
      </c>
      <c r="B108" s="1" t="n">
        <v>45541</v>
      </c>
      <c r="C108" s="1" t="n">
        <v>46192</v>
      </c>
      <c r="D108" t="inlineStr">
        <is>
          <t>VÄRMLANDS LÄN</t>
        </is>
      </c>
      <c r="E108" t="inlineStr">
        <is>
          <t>KIL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31032-2024</t>
        </is>
      </c>
      <c r="B109" s="1" t="n">
        <v>45501</v>
      </c>
      <c r="C109" s="1" t="n">
        <v>46192</v>
      </c>
      <c r="D109" t="inlineStr">
        <is>
          <t>VÄRMLANDS LÄN</t>
        </is>
      </c>
      <c r="E109" t="inlineStr">
        <is>
          <t>KIL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31033-2024</t>
        </is>
      </c>
      <c r="B110" s="1" t="n">
        <v>45501</v>
      </c>
      <c r="C110" s="1" t="n">
        <v>46192</v>
      </c>
      <c r="D110" t="inlineStr">
        <is>
          <t>VÄRMLANDS LÄN</t>
        </is>
      </c>
      <c r="E110" t="inlineStr">
        <is>
          <t>KIL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53841-2025</t>
        </is>
      </c>
      <c r="B111" s="1" t="n">
        <v>45961</v>
      </c>
      <c r="C111" s="1" t="n">
        <v>46192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56641-2023</t>
        </is>
      </c>
      <c r="B112" s="1" t="n">
        <v>45243</v>
      </c>
      <c r="C112" s="1" t="n">
        <v>46192</v>
      </c>
      <c r="D112" t="inlineStr">
        <is>
          <t>VÄRMLANDS LÄN</t>
        </is>
      </c>
      <c r="E112" t="inlineStr">
        <is>
          <t>KIL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53416-2023</t>
        </is>
      </c>
      <c r="B113" s="1" t="n">
        <v>45229</v>
      </c>
      <c r="C113" s="1" t="n">
        <v>46192</v>
      </c>
      <c r="D113" t="inlineStr">
        <is>
          <t>VÄRMLANDS LÄN</t>
        </is>
      </c>
      <c r="E113" t="inlineStr">
        <is>
          <t>KIL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54593-2025</t>
        </is>
      </c>
      <c r="B114" s="1" t="n">
        <v>45965</v>
      </c>
      <c r="C114" s="1" t="n">
        <v>46192</v>
      </c>
      <c r="D114" t="inlineStr">
        <is>
          <t>VÄRMLANDS LÄN</t>
        </is>
      </c>
      <c r="E114" t="inlineStr">
        <is>
          <t>KIL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29698-2024</t>
        </is>
      </c>
      <c r="B115" s="1" t="n">
        <v>45484</v>
      </c>
      <c r="C115" s="1" t="n">
        <v>46192</v>
      </c>
      <c r="D115" t="inlineStr">
        <is>
          <t>VÄRMLANDS LÄN</t>
        </is>
      </c>
      <c r="E115" t="inlineStr">
        <is>
          <t>KIL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23786-2022</t>
        </is>
      </c>
      <c r="B116" s="1" t="n">
        <v>44722</v>
      </c>
      <c r="C116" s="1" t="n">
        <v>46192</v>
      </c>
      <c r="D116" t="inlineStr">
        <is>
          <t>VÄRMLANDS LÄN</t>
        </is>
      </c>
      <c r="E116" t="inlineStr">
        <is>
          <t>KIL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42522-2021</t>
        </is>
      </c>
      <c r="B117" s="1" t="n">
        <v>44427</v>
      </c>
      <c r="C117" s="1" t="n">
        <v>46192</v>
      </c>
      <c r="D117" t="inlineStr">
        <is>
          <t>VÄRMLANDS LÄN</t>
        </is>
      </c>
      <c r="E117" t="inlineStr">
        <is>
          <t>KIL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36305-2022</t>
        </is>
      </c>
      <c r="B118" s="1" t="n">
        <v>44803</v>
      </c>
      <c r="C118" s="1" t="n">
        <v>46192</v>
      </c>
      <c r="D118" t="inlineStr">
        <is>
          <t>VÄRMLANDS LÄN</t>
        </is>
      </c>
      <c r="E118" t="inlineStr">
        <is>
          <t>KIL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36971-2024</t>
        </is>
      </c>
      <c r="B119" s="1" t="n">
        <v>45538</v>
      </c>
      <c r="C119" s="1" t="n">
        <v>46192</v>
      </c>
      <c r="D119" t="inlineStr">
        <is>
          <t>VÄRMLANDS LÄN</t>
        </is>
      </c>
      <c r="E119" t="inlineStr">
        <is>
          <t>KIL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666-2023</t>
        </is>
      </c>
      <c r="B120" s="1" t="n">
        <v>44930</v>
      </c>
      <c r="C120" s="1" t="n">
        <v>46192</v>
      </c>
      <c r="D120" t="inlineStr">
        <is>
          <t>VÄRMLANDS LÄN</t>
        </is>
      </c>
      <c r="E120" t="inlineStr">
        <is>
          <t>KIL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17816-2023</t>
        </is>
      </c>
      <c r="B121" s="1" t="n">
        <v>45037</v>
      </c>
      <c r="C121" s="1" t="n">
        <v>46192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59012-2024</t>
        </is>
      </c>
      <c r="B122" s="1" t="n">
        <v>45636</v>
      </c>
      <c r="C122" s="1" t="n">
        <v>46192</v>
      </c>
      <c r="D122" t="inlineStr">
        <is>
          <t>VÄRMLANDS LÄN</t>
        </is>
      </c>
      <c r="E122" t="inlineStr">
        <is>
          <t>KIL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26263-2023</t>
        </is>
      </c>
      <c r="B123" s="1" t="n">
        <v>45091</v>
      </c>
      <c r="C123" s="1" t="n">
        <v>46192</v>
      </c>
      <c r="D123" t="inlineStr">
        <is>
          <t>VÄRMLANDS LÄN</t>
        </is>
      </c>
      <c r="E123" t="inlineStr">
        <is>
          <t>KIL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15962-2025</t>
        </is>
      </c>
      <c r="B124" s="1" t="n">
        <v>45749</v>
      </c>
      <c r="C124" s="1" t="n">
        <v>46192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8910-2025</t>
        </is>
      </c>
      <c r="B125" s="1" t="n">
        <v>45713</v>
      </c>
      <c r="C125" s="1" t="n">
        <v>46192</v>
      </c>
      <c r="D125" t="inlineStr">
        <is>
          <t>VÄRMLANDS LÄN</t>
        </is>
      </c>
      <c r="E125" t="inlineStr">
        <is>
          <t>KIL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8916-2025</t>
        </is>
      </c>
      <c r="B126" s="1" t="n">
        <v>45713</v>
      </c>
      <c r="C126" s="1" t="n">
        <v>46192</v>
      </c>
      <c r="D126" t="inlineStr">
        <is>
          <t>VÄRMLANDS LÄN</t>
        </is>
      </c>
      <c r="E126" t="inlineStr">
        <is>
          <t>KIL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57011-2025</t>
        </is>
      </c>
      <c r="B127" s="1" t="n">
        <v>45978</v>
      </c>
      <c r="C127" s="1" t="n">
        <v>46192</v>
      </c>
      <c r="D127" t="inlineStr">
        <is>
          <t>VÄRMLANDS LÄN</t>
        </is>
      </c>
      <c r="E127" t="inlineStr">
        <is>
          <t>KIL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7586-2025</t>
        </is>
      </c>
      <c r="B128" s="1" t="n">
        <v>45705</v>
      </c>
      <c r="C128" s="1" t="n">
        <v>46192</v>
      </c>
      <c r="D128" t="inlineStr">
        <is>
          <t>VÄRMLANDS LÄN</t>
        </is>
      </c>
      <c r="E128" t="inlineStr">
        <is>
          <t>KIL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35817-2021</t>
        </is>
      </c>
      <c r="B129" s="1" t="n">
        <v>44386</v>
      </c>
      <c r="C129" s="1" t="n">
        <v>46192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242-2024</t>
        </is>
      </c>
      <c r="B130" s="1" t="n">
        <v>45294</v>
      </c>
      <c r="C130" s="1" t="n">
        <v>46192</v>
      </c>
      <c r="D130" t="inlineStr">
        <is>
          <t>VÄRMLANDS LÄN</t>
        </is>
      </c>
      <c r="E130" t="inlineStr">
        <is>
          <t>KIL</t>
        </is>
      </c>
      <c r="F130" t="inlineStr">
        <is>
          <t>Kyrkan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29615-2022</t>
        </is>
      </c>
      <c r="B131" s="1" t="n">
        <v>44754</v>
      </c>
      <c r="C131" s="1" t="n">
        <v>46192</v>
      </c>
      <c r="D131" t="inlineStr">
        <is>
          <t>VÄRMLANDS LÄN</t>
        </is>
      </c>
      <c r="E131" t="inlineStr">
        <is>
          <t>KIL</t>
        </is>
      </c>
      <c r="F131" t="inlineStr">
        <is>
          <t>Kyrkan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33566-2024</t>
        </is>
      </c>
      <c r="B132" s="1" t="n">
        <v>45520</v>
      </c>
      <c r="C132" s="1" t="n">
        <v>46192</v>
      </c>
      <c r="D132" t="inlineStr">
        <is>
          <t>VÄRMLANDS LÄN</t>
        </is>
      </c>
      <c r="E132" t="inlineStr">
        <is>
          <t>KIL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61210-2023</t>
        </is>
      </c>
      <c r="B133" s="1" t="n">
        <v>45264</v>
      </c>
      <c r="C133" s="1" t="n">
        <v>46192</v>
      </c>
      <c r="D133" t="inlineStr">
        <is>
          <t>VÄRMLANDS LÄN</t>
        </is>
      </c>
      <c r="E133" t="inlineStr">
        <is>
          <t>KIL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56957-2025</t>
        </is>
      </c>
      <c r="B134" s="1" t="n">
        <v>45978</v>
      </c>
      <c r="C134" s="1" t="n">
        <v>46192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17946-2024</t>
        </is>
      </c>
      <c r="B135" s="1" t="n">
        <v>45419</v>
      </c>
      <c r="C135" s="1" t="n">
        <v>46192</v>
      </c>
      <c r="D135" t="inlineStr">
        <is>
          <t>VÄRMLANDS LÄN</t>
        </is>
      </c>
      <c r="E135" t="inlineStr">
        <is>
          <t>KIL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35611-2024</t>
        </is>
      </c>
      <c r="B136" s="1" t="n">
        <v>45531</v>
      </c>
      <c r="C136" s="1" t="n">
        <v>46192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38760-2023</t>
        </is>
      </c>
      <c r="B137" s="1" t="n">
        <v>45163</v>
      </c>
      <c r="C137" s="1" t="n">
        <v>46192</v>
      </c>
      <c r="D137" t="inlineStr">
        <is>
          <t>VÄRMLANDS LÄN</t>
        </is>
      </c>
      <c r="E137" t="inlineStr">
        <is>
          <t>KIL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59503-2022</t>
        </is>
      </c>
      <c r="B138" s="1" t="n">
        <v>44907</v>
      </c>
      <c r="C138" s="1" t="n">
        <v>46192</v>
      </c>
      <c r="D138" t="inlineStr">
        <is>
          <t>VÄRMLANDS LÄN</t>
        </is>
      </c>
      <c r="E138" t="inlineStr">
        <is>
          <t>KIL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59200-2023</t>
        </is>
      </c>
      <c r="B139" s="1" t="n">
        <v>45253</v>
      </c>
      <c r="C139" s="1" t="n">
        <v>46192</v>
      </c>
      <c r="D139" t="inlineStr">
        <is>
          <t>VÄRMLANDS LÄN</t>
        </is>
      </c>
      <c r="E139" t="inlineStr">
        <is>
          <t>KIL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10634-2024</t>
        </is>
      </c>
      <c r="B140" s="1" t="n">
        <v>45367</v>
      </c>
      <c r="C140" s="1" t="n">
        <v>46192</v>
      </c>
      <c r="D140" t="inlineStr">
        <is>
          <t>VÄRMLANDS LÄN</t>
        </is>
      </c>
      <c r="E140" t="inlineStr">
        <is>
          <t>KIL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17806-2023</t>
        </is>
      </c>
      <c r="B141" s="1" t="n">
        <v>45037</v>
      </c>
      <c r="C141" s="1" t="n">
        <v>46192</v>
      </c>
      <c r="D141" t="inlineStr">
        <is>
          <t>VÄRMLANDS LÄN</t>
        </is>
      </c>
      <c r="E141" t="inlineStr">
        <is>
          <t>KIL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34402-2022</t>
        </is>
      </c>
      <c r="B142" s="1" t="n">
        <v>44792</v>
      </c>
      <c r="C142" s="1" t="n">
        <v>46192</v>
      </c>
      <c r="D142" t="inlineStr">
        <is>
          <t>VÄRMLANDS LÄN</t>
        </is>
      </c>
      <c r="E142" t="inlineStr">
        <is>
          <t>KIL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18336-2023</t>
        </is>
      </c>
      <c r="B143" s="1" t="n">
        <v>45041</v>
      </c>
      <c r="C143" s="1" t="n">
        <v>46192</v>
      </c>
      <c r="D143" t="inlineStr">
        <is>
          <t>VÄRMLANDS LÄN</t>
        </is>
      </c>
      <c r="E143" t="inlineStr">
        <is>
          <t>KIL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61436-2025</t>
        </is>
      </c>
      <c r="B144" s="1" t="n">
        <v>46001</v>
      </c>
      <c r="C144" s="1" t="n">
        <v>46192</v>
      </c>
      <c r="D144" t="inlineStr">
        <is>
          <t>VÄRMLANDS LÄN</t>
        </is>
      </c>
      <c r="E144" t="inlineStr">
        <is>
          <t>KIL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43285-2024</t>
        </is>
      </c>
      <c r="B145" s="1" t="n">
        <v>45568</v>
      </c>
      <c r="C145" s="1" t="n">
        <v>46192</v>
      </c>
      <c r="D145" t="inlineStr">
        <is>
          <t>VÄRMLANDS LÄN</t>
        </is>
      </c>
      <c r="E145" t="inlineStr">
        <is>
          <t>KIL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72073-2021</t>
        </is>
      </c>
      <c r="B146" s="1" t="n">
        <v>44544</v>
      </c>
      <c r="C146" s="1" t="n">
        <v>46192</v>
      </c>
      <c r="D146" t="inlineStr">
        <is>
          <t>VÄRMLANDS LÄN</t>
        </is>
      </c>
      <c r="E146" t="inlineStr">
        <is>
          <t>KIL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6687-2023</t>
        </is>
      </c>
      <c r="B147" s="1" t="n">
        <v>44966</v>
      </c>
      <c r="C147" s="1" t="n">
        <v>46192</v>
      </c>
      <c r="D147" t="inlineStr">
        <is>
          <t>VÄRMLANDS LÄN</t>
        </is>
      </c>
      <c r="E147" t="inlineStr">
        <is>
          <t>KIL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64193-2021</t>
        </is>
      </c>
      <c r="B148" s="1" t="n">
        <v>44510</v>
      </c>
      <c r="C148" s="1" t="n">
        <v>46192</v>
      </c>
      <c r="D148" t="inlineStr">
        <is>
          <t>VÄRMLANDS LÄN</t>
        </is>
      </c>
      <c r="E148" t="inlineStr">
        <is>
          <t>KIL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16596-2023</t>
        </is>
      </c>
      <c r="B149" s="1" t="n">
        <v>45030</v>
      </c>
      <c r="C149" s="1" t="n">
        <v>46192</v>
      </c>
      <c r="D149" t="inlineStr">
        <is>
          <t>VÄRMLANDS LÄN</t>
        </is>
      </c>
      <c r="E149" t="inlineStr">
        <is>
          <t>KIL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59064-2023</t>
        </is>
      </c>
      <c r="B150" s="1" t="n">
        <v>45252</v>
      </c>
      <c r="C150" s="1" t="n">
        <v>46192</v>
      </c>
      <c r="D150" t="inlineStr">
        <is>
          <t>VÄRMLANDS LÄN</t>
        </is>
      </c>
      <c r="E150" t="inlineStr">
        <is>
          <t>KIL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HYPERLINK("https://klasma.github.io/Logging_1715/knärot/A 59064-2023 karta knärot.png", "A 59064-2023")</f>
        <v/>
      </c>
      <c r="V150">
        <f>HYPERLINK("https://klasma.github.io/Logging_1715/klagomål/A 59064-2023 FSC-klagomål.docx", "A 59064-2023")</f>
        <v/>
      </c>
      <c r="W150">
        <f>HYPERLINK("https://klasma.github.io/Logging_1715/klagomålsmail/A 59064-2023 FSC-klagomål mail.docx", "A 59064-2023")</f>
        <v/>
      </c>
      <c r="X150">
        <f>HYPERLINK("https://klasma.github.io/Logging_1715/tillsyn/A 59064-2023 tillsynsbegäran.docx", "A 59064-2023")</f>
        <v/>
      </c>
      <c r="Y150">
        <f>HYPERLINK("https://klasma.github.io/Logging_1715/tillsynsmail/A 59064-2023 tillsynsbegäran mail.docx", "A 59064-2023")</f>
        <v/>
      </c>
    </row>
    <row r="151" ht="15" customHeight="1">
      <c r="A151" t="inlineStr">
        <is>
          <t>A 38835-2024</t>
        </is>
      </c>
      <c r="B151" s="1" t="n">
        <v>45547</v>
      </c>
      <c r="C151" s="1" t="n">
        <v>46192</v>
      </c>
      <c r="D151" t="inlineStr">
        <is>
          <t>VÄRMLANDS LÄN</t>
        </is>
      </c>
      <c r="E151" t="inlineStr">
        <is>
          <t>KIL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3851-2025</t>
        </is>
      </c>
      <c r="B152" s="1" t="n">
        <v>45683</v>
      </c>
      <c r="C152" s="1" t="n">
        <v>46192</v>
      </c>
      <c r="D152" t="inlineStr">
        <is>
          <t>VÄRMLANDS LÄN</t>
        </is>
      </c>
      <c r="E152" t="inlineStr">
        <is>
          <t>KIL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5758-2025</t>
        </is>
      </c>
      <c r="B153" s="1" t="n">
        <v>45694</v>
      </c>
      <c r="C153" s="1" t="n">
        <v>46192</v>
      </c>
      <c r="D153" t="inlineStr">
        <is>
          <t>VÄRMLANDS LÄN</t>
        </is>
      </c>
      <c r="E153" t="inlineStr">
        <is>
          <t>KIL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13098-2025</t>
        </is>
      </c>
      <c r="B154" s="1" t="n">
        <v>45734</v>
      </c>
      <c r="C154" s="1" t="n">
        <v>46192</v>
      </c>
      <c r="D154" t="inlineStr">
        <is>
          <t>VÄRMLANDS LÄN</t>
        </is>
      </c>
      <c r="E154" t="inlineStr">
        <is>
          <t>KIL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25435-2024</t>
        </is>
      </c>
      <c r="B155" s="1" t="n">
        <v>45463</v>
      </c>
      <c r="C155" s="1" t="n">
        <v>46192</v>
      </c>
      <c r="D155" t="inlineStr">
        <is>
          <t>VÄRMLANDS LÄN</t>
        </is>
      </c>
      <c r="E155" t="inlineStr">
        <is>
          <t>KIL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22798-2024</t>
        </is>
      </c>
      <c r="B156" s="1" t="n">
        <v>45448</v>
      </c>
      <c r="C156" s="1" t="n">
        <v>46192</v>
      </c>
      <c r="D156" t="inlineStr">
        <is>
          <t>VÄRMLANDS LÄN</t>
        </is>
      </c>
      <c r="E156" t="inlineStr">
        <is>
          <t>KIL</t>
        </is>
      </c>
      <c r="F156" t="inlineStr">
        <is>
          <t>Kyrkan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7368-2025</t>
        </is>
      </c>
      <c r="B157" s="1" t="n">
        <v>45704</v>
      </c>
      <c r="C157" s="1" t="n">
        <v>46192</v>
      </c>
      <c r="D157" t="inlineStr">
        <is>
          <t>VÄRMLANDS LÄN</t>
        </is>
      </c>
      <c r="E157" t="inlineStr">
        <is>
          <t>KIL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63811-2025</t>
        </is>
      </c>
      <c r="B158" s="1" t="n">
        <v>46020</v>
      </c>
      <c r="C158" s="1" t="n">
        <v>46192</v>
      </c>
      <c r="D158" t="inlineStr">
        <is>
          <t>VÄRMLANDS LÄN</t>
        </is>
      </c>
      <c r="E158" t="inlineStr">
        <is>
          <t>KIL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46220-2021</t>
        </is>
      </c>
      <c r="B159" s="1" t="n">
        <v>44442</v>
      </c>
      <c r="C159" s="1" t="n">
        <v>46192</v>
      </c>
      <c r="D159" t="inlineStr">
        <is>
          <t>VÄRMLANDS LÄN</t>
        </is>
      </c>
      <c r="E159" t="inlineStr">
        <is>
          <t>KIL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14143-2024</t>
        </is>
      </c>
      <c r="B160" s="1" t="n">
        <v>45392</v>
      </c>
      <c r="C160" s="1" t="n">
        <v>46192</v>
      </c>
      <c r="D160" t="inlineStr">
        <is>
          <t>VÄRMLANDS LÄN</t>
        </is>
      </c>
      <c r="E160" t="inlineStr">
        <is>
          <t>KIL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39039-2024</t>
        </is>
      </c>
      <c r="B161" s="1" t="n">
        <v>45548</v>
      </c>
      <c r="C161" s="1" t="n">
        <v>46192</v>
      </c>
      <c r="D161" t="inlineStr">
        <is>
          <t>VÄRMLANDS LÄN</t>
        </is>
      </c>
      <c r="E161" t="inlineStr">
        <is>
          <t>KIL</t>
        </is>
      </c>
      <c r="F161" t="inlineStr">
        <is>
          <t>Kyrkan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64140-2023</t>
        </is>
      </c>
      <c r="B162" s="1" t="n">
        <v>45279</v>
      </c>
      <c r="C162" s="1" t="n">
        <v>46192</v>
      </c>
      <c r="D162" t="inlineStr">
        <is>
          <t>VÄRMLANDS LÄN</t>
        </is>
      </c>
      <c r="E162" t="inlineStr">
        <is>
          <t>KIL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14732-2022</t>
        </is>
      </c>
      <c r="B163" s="1" t="n">
        <v>44655</v>
      </c>
      <c r="C163" s="1" t="n">
        <v>46192</v>
      </c>
      <c r="D163" t="inlineStr">
        <is>
          <t>VÄRMLANDS LÄN</t>
        </is>
      </c>
      <c r="E163" t="inlineStr">
        <is>
          <t>KIL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62669-2023</t>
        </is>
      </c>
      <c r="B164" s="1" t="n">
        <v>45271</v>
      </c>
      <c r="C164" s="1" t="n">
        <v>46192</v>
      </c>
      <c r="D164" t="inlineStr">
        <is>
          <t>VÄRMLANDS LÄN</t>
        </is>
      </c>
      <c r="E164" t="inlineStr">
        <is>
          <t>KIL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10476-2025</t>
        </is>
      </c>
      <c r="B165" s="1" t="n">
        <v>45720</v>
      </c>
      <c r="C165" s="1" t="n">
        <v>46192</v>
      </c>
      <c r="D165" t="inlineStr">
        <is>
          <t>VÄRMLANDS LÄN</t>
        </is>
      </c>
      <c r="E165" t="inlineStr">
        <is>
          <t>KIL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1332-2026</t>
        </is>
      </c>
      <c r="B166" s="1" t="n">
        <v>46031</v>
      </c>
      <c r="C166" s="1" t="n">
        <v>46192</v>
      </c>
      <c r="D166" t="inlineStr">
        <is>
          <t>VÄRMLANDS LÄN</t>
        </is>
      </c>
      <c r="E166" t="inlineStr">
        <is>
          <t>KIL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2309-2024</t>
        </is>
      </c>
      <c r="B167" s="1" t="n">
        <v>45310</v>
      </c>
      <c r="C167" s="1" t="n">
        <v>46192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10635-2024</t>
        </is>
      </c>
      <c r="B168" s="1" t="n">
        <v>45367</v>
      </c>
      <c r="C168" s="1" t="n">
        <v>46192</v>
      </c>
      <c r="D168" t="inlineStr">
        <is>
          <t>VÄRMLANDS LÄN</t>
        </is>
      </c>
      <c r="E168" t="inlineStr">
        <is>
          <t>KIL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8541-2025</t>
        </is>
      </c>
      <c r="B169" s="1" t="n">
        <v>45709</v>
      </c>
      <c r="C169" s="1" t="n">
        <v>46192</v>
      </c>
      <c r="D169" t="inlineStr">
        <is>
          <t>VÄRMLANDS LÄN</t>
        </is>
      </c>
      <c r="E169" t="inlineStr">
        <is>
          <t>KIL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7822-2024</t>
        </is>
      </c>
      <c r="B170" s="1" t="n">
        <v>45349</v>
      </c>
      <c r="C170" s="1" t="n">
        <v>46192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3174-2026</t>
        </is>
      </c>
      <c r="B171" s="1" t="n">
        <v>46041</v>
      </c>
      <c r="C171" s="1" t="n">
        <v>46192</v>
      </c>
      <c r="D171" t="inlineStr">
        <is>
          <t>VÄRMLANDS LÄN</t>
        </is>
      </c>
      <c r="E171" t="inlineStr">
        <is>
          <t>KIL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57967-2021</t>
        </is>
      </c>
      <c r="B172" s="1" t="n">
        <v>44487</v>
      </c>
      <c r="C172" s="1" t="n">
        <v>46192</v>
      </c>
      <c r="D172" t="inlineStr">
        <is>
          <t>VÄRMLANDS LÄN</t>
        </is>
      </c>
      <c r="E172" t="inlineStr">
        <is>
          <t>KIL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15039-2022</t>
        </is>
      </c>
      <c r="B173" s="1" t="n">
        <v>44657</v>
      </c>
      <c r="C173" s="1" t="n">
        <v>46192</v>
      </c>
      <c r="D173" t="inlineStr">
        <is>
          <t>VÄRMLANDS LÄN</t>
        </is>
      </c>
      <c r="E173" t="inlineStr">
        <is>
          <t>KIL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969-2022</t>
        </is>
      </c>
      <c r="B174" s="1" t="n">
        <v>44571</v>
      </c>
      <c r="C174" s="1" t="n">
        <v>46192</v>
      </c>
      <c r="D174" t="inlineStr">
        <is>
          <t>VÄRMLANDS LÄN</t>
        </is>
      </c>
      <c r="E174" t="inlineStr">
        <is>
          <t>KIL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65007-2023</t>
        </is>
      </c>
      <c r="B175" s="1" t="n">
        <v>45287</v>
      </c>
      <c r="C175" s="1" t="n">
        <v>46192</v>
      </c>
      <c r="D175" t="inlineStr">
        <is>
          <t>VÄRMLANDS LÄN</t>
        </is>
      </c>
      <c r="E175" t="inlineStr">
        <is>
          <t>KIL</t>
        </is>
      </c>
      <c r="G175" t="n">
        <v>14.2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2306-2024</t>
        </is>
      </c>
      <c r="B176" s="1" t="n">
        <v>45310</v>
      </c>
      <c r="C176" s="1" t="n">
        <v>46192</v>
      </c>
      <c r="D176" t="inlineStr">
        <is>
          <t>VÄRMLANDS LÄN</t>
        </is>
      </c>
      <c r="E176" t="inlineStr">
        <is>
          <t>KIL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48742-2021</t>
        </is>
      </c>
      <c r="B177" s="1" t="n">
        <v>44452</v>
      </c>
      <c r="C177" s="1" t="n">
        <v>46192</v>
      </c>
      <c r="D177" t="inlineStr">
        <is>
          <t>VÄRMLANDS LÄN</t>
        </is>
      </c>
      <c r="E177" t="inlineStr">
        <is>
          <t>KIL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18049-2024</t>
        </is>
      </c>
      <c r="B178" s="1" t="n">
        <v>45420</v>
      </c>
      <c r="C178" s="1" t="n">
        <v>46192</v>
      </c>
      <c r="D178" t="inlineStr">
        <is>
          <t>VÄRMLANDS LÄN</t>
        </is>
      </c>
      <c r="E178" t="inlineStr">
        <is>
          <t>KIL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41074-2022</t>
        </is>
      </c>
      <c r="B179" s="1" t="n">
        <v>44825</v>
      </c>
      <c r="C179" s="1" t="n">
        <v>46192</v>
      </c>
      <c r="D179" t="inlineStr">
        <is>
          <t>VÄRMLANDS LÄN</t>
        </is>
      </c>
      <c r="E179" t="inlineStr">
        <is>
          <t>KIL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30951-2022</t>
        </is>
      </c>
      <c r="B180" s="1" t="n">
        <v>44768</v>
      </c>
      <c r="C180" s="1" t="n">
        <v>46192</v>
      </c>
      <c r="D180" t="inlineStr">
        <is>
          <t>VÄRMLANDS LÄN</t>
        </is>
      </c>
      <c r="E180" t="inlineStr">
        <is>
          <t>KIL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14675-2024</t>
        </is>
      </c>
      <c r="B181" s="1" t="n">
        <v>45397</v>
      </c>
      <c r="C181" s="1" t="n">
        <v>46192</v>
      </c>
      <c r="D181" t="inlineStr">
        <is>
          <t>VÄRMLANDS LÄN</t>
        </is>
      </c>
      <c r="E181" t="inlineStr">
        <is>
          <t>KIL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36296-2022</t>
        </is>
      </c>
      <c r="B182" s="1" t="n">
        <v>44803</v>
      </c>
      <c r="C182" s="1" t="n">
        <v>46192</v>
      </c>
      <c r="D182" t="inlineStr">
        <is>
          <t>VÄRMLANDS LÄN</t>
        </is>
      </c>
      <c r="E182" t="inlineStr">
        <is>
          <t>KIL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45672-2024</t>
        </is>
      </c>
      <c r="B183" s="1" t="n">
        <v>45579</v>
      </c>
      <c r="C183" s="1" t="n">
        <v>46192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2077-2024</t>
        </is>
      </c>
      <c r="B184" s="1" t="n">
        <v>45309</v>
      </c>
      <c r="C184" s="1" t="n">
        <v>46192</v>
      </c>
      <c r="D184" t="inlineStr">
        <is>
          <t>VÄRMLANDS LÄN</t>
        </is>
      </c>
      <c r="E184" t="inlineStr">
        <is>
          <t>KIL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6015-2023</t>
        </is>
      </c>
      <c r="B185" s="1" t="n">
        <v>44964</v>
      </c>
      <c r="C185" s="1" t="n">
        <v>46192</v>
      </c>
      <c r="D185" t="inlineStr">
        <is>
          <t>VÄRMLANDS LÄN</t>
        </is>
      </c>
      <c r="E185" t="inlineStr">
        <is>
          <t>KIL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8911-2025</t>
        </is>
      </c>
      <c r="B186" s="1" t="n">
        <v>45713</v>
      </c>
      <c r="C186" s="1" t="n">
        <v>46192</v>
      </c>
      <c r="D186" t="inlineStr">
        <is>
          <t>VÄRMLANDS LÄN</t>
        </is>
      </c>
      <c r="E186" t="inlineStr">
        <is>
          <t>KIL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20743-2024</t>
        </is>
      </c>
      <c r="B187" s="1" t="n">
        <v>45436</v>
      </c>
      <c r="C187" s="1" t="n">
        <v>46192</v>
      </c>
      <c r="D187" t="inlineStr">
        <is>
          <t>VÄRMLANDS LÄN</t>
        </is>
      </c>
      <c r="E187" t="inlineStr">
        <is>
          <t>KIL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44646-2024</t>
        </is>
      </c>
      <c r="B188" s="1" t="n">
        <v>45574</v>
      </c>
      <c r="C188" s="1" t="n">
        <v>46192</v>
      </c>
      <c r="D188" t="inlineStr">
        <is>
          <t>VÄRMLANDS LÄN</t>
        </is>
      </c>
      <c r="E188" t="inlineStr">
        <is>
          <t>KIL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62807-2023</t>
        </is>
      </c>
      <c r="B189" s="1" t="n">
        <v>45271</v>
      </c>
      <c r="C189" s="1" t="n">
        <v>46192</v>
      </c>
      <c r="D189" t="inlineStr">
        <is>
          <t>VÄRMLANDS LÄN</t>
        </is>
      </c>
      <c r="E189" t="inlineStr">
        <is>
          <t>KIL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59938-2024</t>
        </is>
      </c>
      <c r="B190" s="1" t="n">
        <v>45642</v>
      </c>
      <c r="C190" s="1" t="n">
        <v>46192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53956-2024</t>
        </is>
      </c>
      <c r="B191" s="1" t="n">
        <v>45616</v>
      </c>
      <c r="C191" s="1" t="n">
        <v>46192</v>
      </c>
      <c r="D191" t="inlineStr">
        <is>
          <t>VÄRMLANDS LÄN</t>
        </is>
      </c>
      <c r="E191" t="inlineStr">
        <is>
          <t>KIL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31621-2022</t>
        </is>
      </c>
      <c r="B192" s="1" t="n">
        <v>44775</v>
      </c>
      <c r="C192" s="1" t="n">
        <v>46192</v>
      </c>
      <c r="D192" t="inlineStr">
        <is>
          <t>VÄRMLANDS LÄN</t>
        </is>
      </c>
      <c r="E192" t="inlineStr">
        <is>
          <t>KIL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49604-2023</t>
        </is>
      </c>
      <c r="B193" s="1" t="n">
        <v>45207</v>
      </c>
      <c r="C193" s="1" t="n">
        <v>46192</v>
      </c>
      <c r="D193" t="inlineStr">
        <is>
          <t>VÄRMLANDS LÄN</t>
        </is>
      </c>
      <c r="E193" t="inlineStr">
        <is>
          <t>KIL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30599-2023</t>
        </is>
      </c>
      <c r="B194" s="1" t="n">
        <v>45112</v>
      </c>
      <c r="C194" s="1" t="n">
        <v>46192</v>
      </c>
      <c r="D194" t="inlineStr">
        <is>
          <t>VÄRMLANDS LÄN</t>
        </is>
      </c>
      <c r="E194" t="inlineStr">
        <is>
          <t>KIL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249-2022</t>
        </is>
      </c>
      <c r="B195" s="1" t="n">
        <v>44565</v>
      </c>
      <c r="C195" s="1" t="n">
        <v>46192</v>
      </c>
      <c r="D195" t="inlineStr">
        <is>
          <t>VÄRMLANDS LÄN</t>
        </is>
      </c>
      <c r="E195" t="inlineStr">
        <is>
          <t>KIL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57151-2023</t>
        </is>
      </c>
      <c r="B196" s="1" t="n">
        <v>45245</v>
      </c>
      <c r="C196" s="1" t="n">
        <v>46192</v>
      </c>
      <c r="D196" t="inlineStr">
        <is>
          <t>VÄRMLANDS LÄN</t>
        </is>
      </c>
      <c r="E196" t="inlineStr">
        <is>
          <t>KIL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28195-2022</t>
        </is>
      </c>
      <c r="B197" s="1" t="n">
        <v>44746</v>
      </c>
      <c r="C197" s="1" t="n">
        <v>46192</v>
      </c>
      <c r="D197" t="inlineStr">
        <is>
          <t>VÄRMLANDS LÄN</t>
        </is>
      </c>
      <c r="E197" t="inlineStr">
        <is>
          <t>KIL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23794-2023</t>
        </is>
      </c>
      <c r="B198" s="1" t="n">
        <v>45078</v>
      </c>
      <c r="C198" s="1" t="n">
        <v>46192</v>
      </c>
      <c r="D198" t="inlineStr">
        <is>
          <t>VÄRMLANDS LÄN</t>
        </is>
      </c>
      <c r="E198" t="inlineStr">
        <is>
          <t>KIL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37169-2021</t>
        </is>
      </c>
      <c r="B199" s="1" t="n">
        <v>44395</v>
      </c>
      <c r="C199" s="1" t="n">
        <v>46192</v>
      </c>
      <c r="D199" t="inlineStr">
        <is>
          <t>VÄRMLANDS LÄN</t>
        </is>
      </c>
      <c r="E199" t="inlineStr">
        <is>
          <t>KIL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14954-2024</t>
        </is>
      </c>
      <c r="B200" s="1" t="n">
        <v>45398</v>
      </c>
      <c r="C200" s="1" t="n">
        <v>46192</v>
      </c>
      <c r="D200" t="inlineStr">
        <is>
          <t>VÄRMLANDS LÄN</t>
        </is>
      </c>
      <c r="E200" t="inlineStr">
        <is>
          <t>KIL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65002-2023</t>
        </is>
      </c>
      <c r="B201" s="1" t="n">
        <v>45287</v>
      </c>
      <c r="C201" s="1" t="n">
        <v>46192</v>
      </c>
      <c r="D201" t="inlineStr">
        <is>
          <t>VÄRMLANDS LÄN</t>
        </is>
      </c>
      <c r="E201" t="inlineStr">
        <is>
          <t>KIL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22008-2025</t>
        </is>
      </c>
      <c r="B202" s="1" t="n">
        <v>45784</v>
      </c>
      <c r="C202" s="1" t="n">
        <v>46192</v>
      </c>
      <c r="D202" t="inlineStr">
        <is>
          <t>VÄRMLANDS LÄN</t>
        </is>
      </c>
      <c r="E202" t="inlineStr">
        <is>
          <t>KIL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57220-2024</t>
        </is>
      </c>
      <c r="B203" s="1" t="n">
        <v>45629</v>
      </c>
      <c r="C203" s="1" t="n">
        <v>46192</v>
      </c>
      <c r="D203" t="inlineStr">
        <is>
          <t>VÄRMLANDS LÄN</t>
        </is>
      </c>
      <c r="E203" t="inlineStr">
        <is>
          <t>KIL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2708-2023</t>
        </is>
      </c>
      <c r="B204" s="1" t="n">
        <v>44942</v>
      </c>
      <c r="C204" s="1" t="n">
        <v>46192</v>
      </c>
      <c r="D204" t="inlineStr">
        <is>
          <t>VÄRMLANDS LÄN</t>
        </is>
      </c>
      <c r="E204" t="inlineStr">
        <is>
          <t>KIL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2990-2022</t>
        </is>
      </c>
      <c r="B205" s="1" t="n">
        <v>44581</v>
      </c>
      <c r="C205" s="1" t="n">
        <v>46192</v>
      </c>
      <c r="D205" t="inlineStr">
        <is>
          <t>VÄRMLANDS LÄN</t>
        </is>
      </c>
      <c r="E205" t="inlineStr">
        <is>
          <t>KIL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2994-2022</t>
        </is>
      </c>
      <c r="B206" s="1" t="n">
        <v>44581</v>
      </c>
      <c r="C206" s="1" t="n">
        <v>46192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5753-2025</t>
        </is>
      </c>
      <c r="B207" s="1" t="n">
        <v>45694</v>
      </c>
      <c r="C207" s="1" t="n">
        <v>46192</v>
      </c>
      <c r="D207" t="inlineStr">
        <is>
          <t>VÄRMLANDS LÄN</t>
        </is>
      </c>
      <c r="E207" t="inlineStr">
        <is>
          <t>KIL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64374-2023</t>
        </is>
      </c>
      <c r="B208" s="1" t="n">
        <v>45280</v>
      </c>
      <c r="C208" s="1" t="n">
        <v>46192</v>
      </c>
      <c r="D208" t="inlineStr">
        <is>
          <t>VÄRMLANDS LÄN</t>
        </is>
      </c>
      <c r="E208" t="inlineStr">
        <is>
          <t>KIL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13006-2026</t>
        </is>
      </c>
      <c r="B209" s="1" t="n">
        <v>46092</v>
      </c>
      <c r="C209" s="1" t="n">
        <v>46192</v>
      </c>
      <c r="D209" t="inlineStr">
        <is>
          <t>VÄRMLANDS LÄN</t>
        </is>
      </c>
      <c r="E209" t="inlineStr">
        <is>
          <t>KIL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13010-2026</t>
        </is>
      </c>
      <c r="B210" s="1" t="n">
        <v>46092</v>
      </c>
      <c r="C210" s="1" t="n">
        <v>46192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13014-2026</t>
        </is>
      </c>
      <c r="B211" s="1" t="n">
        <v>46092</v>
      </c>
      <c r="C211" s="1" t="n">
        <v>46192</v>
      </c>
      <c r="D211" t="inlineStr">
        <is>
          <t>VÄRMLANDS LÄN</t>
        </is>
      </c>
      <c r="E211" t="inlineStr">
        <is>
          <t>KIL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13504-2026</t>
        </is>
      </c>
      <c r="B212" s="1" t="n">
        <v>46094</v>
      </c>
      <c r="C212" s="1" t="n">
        <v>46192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59944-2024</t>
        </is>
      </c>
      <c r="B213" s="1" t="n">
        <v>45642</v>
      </c>
      <c r="C213" s="1" t="n">
        <v>46192</v>
      </c>
      <c r="D213" t="inlineStr">
        <is>
          <t>VÄRMLANDS LÄN</t>
        </is>
      </c>
      <c r="E213" t="inlineStr">
        <is>
          <t>KIL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17635-2022</t>
        </is>
      </c>
      <c r="B214" s="1" t="n">
        <v>44680</v>
      </c>
      <c r="C214" s="1" t="n">
        <v>46192</v>
      </c>
      <c r="D214" t="inlineStr">
        <is>
          <t>VÄRMLANDS LÄN</t>
        </is>
      </c>
      <c r="E214" t="inlineStr">
        <is>
          <t>KIL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45599-2023</t>
        </is>
      </c>
      <c r="B215" s="1" t="n">
        <v>45194</v>
      </c>
      <c r="C215" s="1" t="n">
        <v>46192</v>
      </c>
      <c r="D215" t="inlineStr">
        <is>
          <t>VÄRMLANDS LÄN</t>
        </is>
      </c>
      <c r="E215" t="inlineStr">
        <is>
          <t>KIL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14036-2026</t>
        </is>
      </c>
      <c r="B216" s="1" t="n">
        <v>46098</v>
      </c>
      <c r="C216" s="1" t="n">
        <v>46192</v>
      </c>
      <c r="D216" t="inlineStr">
        <is>
          <t>VÄRMLANDS LÄN</t>
        </is>
      </c>
      <c r="E216" t="inlineStr">
        <is>
          <t>KIL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24262-2025</t>
        </is>
      </c>
      <c r="B217" s="1" t="n">
        <v>45797</v>
      </c>
      <c r="C217" s="1" t="n">
        <v>46192</v>
      </c>
      <c r="D217" t="inlineStr">
        <is>
          <t>VÄRMLANDS LÄN</t>
        </is>
      </c>
      <c r="E217" t="inlineStr">
        <is>
          <t>KIL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11558-2025</t>
        </is>
      </c>
      <c r="B218" s="1" t="n">
        <v>45727</v>
      </c>
      <c r="C218" s="1" t="n">
        <v>46192</v>
      </c>
      <c r="D218" t="inlineStr">
        <is>
          <t>VÄRMLANDS LÄN</t>
        </is>
      </c>
      <c r="E218" t="inlineStr">
        <is>
          <t>KIL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16590-2026</t>
        </is>
      </c>
      <c r="B219" s="1" t="n">
        <v>46112</v>
      </c>
      <c r="C219" s="1" t="n">
        <v>46192</v>
      </c>
      <c r="D219" t="inlineStr">
        <is>
          <t>VÄRMLANDS LÄN</t>
        </is>
      </c>
      <c r="E219" t="inlineStr">
        <is>
          <t>KIL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22226-2026</t>
        </is>
      </c>
      <c r="B220" s="1" t="n">
        <v>46150</v>
      </c>
      <c r="C220" s="1" t="n">
        <v>46192</v>
      </c>
      <c r="D220" t="inlineStr">
        <is>
          <t>VÄRMLANDS LÄN</t>
        </is>
      </c>
      <c r="E220" t="inlineStr">
        <is>
          <t>KIL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16585-2026</t>
        </is>
      </c>
      <c r="B221" s="1" t="n">
        <v>46112</v>
      </c>
      <c r="C221" s="1" t="n">
        <v>46192</v>
      </c>
      <c r="D221" t="inlineStr">
        <is>
          <t>VÄRMLANDS LÄN</t>
        </is>
      </c>
      <c r="E221" t="inlineStr">
        <is>
          <t>KIL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35084-2024</t>
        </is>
      </c>
      <c r="B222" s="1" t="n">
        <v>45527</v>
      </c>
      <c r="C222" s="1" t="n">
        <v>46192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18948-2024</t>
        </is>
      </c>
      <c r="B223" s="1" t="n">
        <v>45427</v>
      </c>
      <c r="C223" s="1" t="n">
        <v>46192</v>
      </c>
      <c r="D223" t="inlineStr">
        <is>
          <t>VÄRMLANDS LÄN</t>
        </is>
      </c>
      <c r="E223" t="inlineStr">
        <is>
          <t>KIL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12252-2024</t>
        </is>
      </c>
      <c r="B224" s="1" t="n">
        <v>45378</v>
      </c>
      <c r="C224" s="1" t="n">
        <v>46192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36795-2024</t>
        </is>
      </c>
      <c r="B225" s="1" t="n">
        <v>45538</v>
      </c>
      <c r="C225" s="1" t="n">
        <v>46192</v>
      </c>
      <c r="D225" t="inlineStr">
        <is>
          <t>VÄRMLANDS LÄN</t>
        </is>
      </c>
      <c r="E225" t="inlineStr">
        <is>
          <t>KIL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45591-2023</t>
        </is>
      </c>
      <c r="B226" s="1" t="n">
        <v>45194</v>
      </c>
      <c r="C226" s="1" t="n">
        <v>46192</v>
      </c>
      <c r="D226" t="inlineStr">
        <is>
          <t>VÄRMLANDS LÄN</t>
        </is>
      </c>
      <c r="E226" t="inlineStr">
        <is>
          <t>KIL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26978-2025</t>
        </is>
      </c>
      <c r="B227" s="1" t="n">
        <v>45811</v>
      </c>
      <c r="C227" s="1" t="n">
        <v>46192</v>
      </c>
      <c r="D227" t="inlineStr">
        <is>
          <t>VÄRMLANDS LÄN</t>
        </is>
      </c>
      <c r="E227" t="inlineStr">
        <is>
          <t>KIL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22566-2025</t>
        </is>
      </c>
      <c r="B228" s="1" t="n">
        <v>45789</v>
      </c>
      <c r="C228" s="1" t="n">
        <v>46192</v>
      </c>
      <c r="D228" t="inlineStr">
        <is>
          <t>VÄRMLANDS LÄN</t>
        </is>
      </c>
      <c r="E228" t="inlineStr">
        <is>
          <t>KIL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26967-2025</t>
        </is>
      </c>
      <c r="B229" s="1" t="n">
        <v>45811</v>
      </c>
      <c r="C229" s="1" t="n">
        <v>46192</v>
      </c>
      <c r="D229" t="inlineStr">
        <is>
          <t>VÄRMLANDS LÄN</t>
        </is>
      </c>
      <c r="E229" t="inlineStr">
        <is>
          <t>KIL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26968-2025</t>
        </is>
      </c>
      <c r="B230" s="1" t="n">
        <v>45811</v>
      </c>
      <c r="C230" s="1" t="n">
        <v>46192</v>
      </c>
      <c r="D230" t="inlineStr">
        <is>
          <t>VÄRMLANDS LÄN</t>
        </is>
      </c>
      <c r="E230" t="inlineStr">
        <is>
          <t>KIL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41526-2023</t>
        </is>
      </c>
      <c r="B231" s="1" t="n">
        <v>45175</v>
      </c>
      <c r="C231" s="1" t="n">
        <v>46192</v>
      </c>
      <c r="D231" t="inlineStr">
        <is>
          <t>VÄRMLANDS LÄN</t>
        </is>
      </c>
      <c r="E231" t="inlineStr">
        <is>
          <t>KIL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46117-2022</t>
        </is>
      </c>
      <c r="B232" s="1" t="n">
        <v>44847</v>
      </c>
      <c r="C232" s="1" t="n">
        <v>46192</v>
      </c>
      <c r="D232" t="inlineStr">
        <is>
          <t>VÄRMLANDS LÄN</t>
        </is>
      </c>
      <c r="E232" t="inlineStr">
        <is>
          <t>KIL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23327-2026</t>
        </is>
      </c>
      <c r="B233" s="1" t="n">
        <v>46162</v>
      </c>
      <c r="C233" s="1" t="n">
        <v>46192</v>
      </c>
      <c r="D233" t="inlineStr">
        <is>
          <t>VÄRMLANDS LÄN</t>
        </is>
      </c>
      <c r="E233" t="inlineStr">
        <is>
          <t>KIL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11929-2023</t>
        </is>
      </c>
      <c r="B234" s="1" t="n">
        <v>44995</v>
      </c>
      <c r="C234" s="1" t="n">
        <v>46192</v>
      </c>
      <c r="D234" t="inlineStr">
        <is>
          <t>VÄRMLANDS LÄN</t>
        </is>
      </c>
      <c r="E234" t="inlineStr">
        <is>
          <t>KIL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30260-2025</t>
        </is>
      </c>
      <c r="B235" s="1" t="n">
        <v>45827</v>
      </c>
      <c r="C235" s="1" t="n">
        <v>46192</v>
      </c>
      <c r="D235" t="inlineStr">
        <is>
          <t>VÄRMLANDS LÄN</t>
        </is>
      </c>
      <c r="E235" t="inlineStr">
        <is>
          <t>KIL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30584-2025</t>
        </is>
      </c>
      <c r="B236" s="1" t="n">
        <v>45831</v>
      </c>
      <c r="C236" s="1" t="n">
        <v>46192</v>
      </c>
      <c r="D236" t="inlineStr">
        <is>
          <t>VÄRMLANDS LÄN</t>
        </is>
      </c>
      <c r="E236" t="inlineStr">
        <is>
          <t>KIL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59871-2024</t>
        </is>
      </c>
      <c r="B237" s="1" t="n">
        <v>45640</v>
      </c>
      <c r="C237" s="1" t="n">
        <v>46192</v>
      </c>
      <c r="D237" t="inlineStr">
        <is>
          <t>VÄRMLANDS LÄN</t>
        </is>
      </c>
      <c r="E237" t="inlineStr">
        <is>
          <t>KIL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2314-2022</t>
        </is>
      </c>
      <c r="B238" s="1" t="n">
        <v>44578</v>
      </c>
      <c r="C238" s="1" t="n">
        <v>46192</v>
      </c>
      <c r="D238" t="inlineStr">
        <is>
          <t>VÄRMLANDS LÄN</t>
        </is>
      </c>
      <c r="E238" t="inlineStr">
        <is>
          <t>KIL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31559-2025</t>
        </is>
      </c>
      <c r="B239" s="1" t="n">
        <v>45833</v>
      </c>
      <c r="C239" s="1" t="n">
        <v>46192</v>
      </c>
      <c r="D239" t="inlineStr">
        <is>
          <t>VÄRMLANDS LÄN</t>
        </is>
      </c>
      <c r="E239" t="inlineStr">
        <is>
          <t>KIL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58679-2021</t>
        </is>
      </c>
      <c r="B240" s="1" t="n">
        <v>44489</v>
      </c>
      <c r="C240" s="1" t="n">
        <v>46192</v>
      </c>
      <c r="D240" t="inlineStr">
        <is>
          <t>VÄRMLANDS LÄN</t>
        </is>
      </c>
      <c r="E240" t="inlineStr">
        <is>
          <t>KIL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10910-2023</t>
        </is>
      </c>
      <c r="B241" s="1" t="n">
        <v>44991</v>
      </c>
      <c r="C241" s="1" t="n">
        <v>46192</v>
      </c>
      <c r="D241" t="inlineStr">
        <is>
          <t>VÄRMLANDS LÄN</t>
        </is>
      </c>
      <c r="E241" t="inlineStr">
        <is>
          <t>KIL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12652-2024</t>
        </is>
      </c>
      <c r="B242" s="1" t="n">
        <v>45384</v>
      </c>
      <c r="C242" s="1" t="n">
        <v>46192</v>
      </c>
      <c r="D242" t="inlineStr">
        <is>
          <t>VÄRMLANDS LÄN</t>
        </is>
      </c>
      <c r="E242" t="inlineStr">
        <is>
          <t>KIL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27792-2023</t>
        </is>
      </c>
      <c r="B243" s="1" t="n">
        <v>45098</v>
      </c>
      <c r="C243" s="1" t="n">
        <v>46192</v>
      </c>
      <c r="D243" t="inlineStr">
        <is>
          <t>VÄRMLANDS LÄN</t>
        </is>
      </c>
      <c r="E243" t="inlineStr">
        <is>
          <t>KIL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18101-2026</t>
        </is>
      </c>
      <c r="B244" s="1" t="n">
        <v>46125</v>
      </c>
      <c r="C244" s="1" t="n">
        <v>46192</v>
      </c>
      <c r="D244" t="inlineStr">
        <is>
          <t>VÄRMLANDS LÄN</t>
        </is>
      </c>
      <c r="E244" t="inlineStr">
        <is>
          <t>KIL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32982-2025</t>
        </is>
      </c>
      <c r="B245" s="1" t="n">
        <v>45839</v>
      </c>
      <c r="C245" s="1" t="n">
        <v>46192</v>
      </c>
      <c r="D245" t="inlineStr">
        <is>
          <t>VÄRMLANDS LÄN</t>
        </is>
      </c>
      <c r="E245" t="inlineStr">
        <is>
          <t>KIL</t>
        </is>
      </c>
      <c r="F245" t="inlineStr">
        <is>
          <t>Kyrkan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18096-2026</t>
        </is>
      </c>
      <c r="B246" s="1" t="n">
        <v>46125</v>
      </c>
      <c r="C246" s="1" t="n">
        <v>46192</v>
      </c>
      <c r="D246" t="inlineStr">
        <is>
          <t>VÄRMLANDS LÄN</t>
        </is>
      </c>
      <c r="E246" t="inlineStr">
        <is>
          <t>KIL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32410-2025</t>
        </is>
      </c>
      <c r="B247" s="1" t="n">
        <v>45838</v>
      </c>
      <c r="C247" s="1" t="n">
        <v>46192</v>
      </c>
      <c r="D247" t="inlineStr">
        <is>
          <t>VÄRMLANDS LÄN</t>
        </is>
      </c>
      <c r="E247" t="inlineStr">
        <is>
          <t>KIL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60201-2024</t>
        </is>
      </c>
      <c r="B248" s="1" t="n">
        <v>45642</v>
      </c>
      <c r="C248" s="1" t="n">
        <v>46192</v>
      </c>
      <c r="D248" t="inlineStr">
        <is>
          <t>VÄRMLANDS LÄN</t>
        </is>
      </c>
      <c r="E248" t="inlineStr">
        <is>
          <t>KIL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20476-2024</t>
        </is>
      </c>
      <c r="B249" s="1" t="n">
        <v>45435</v>
      </c>
      <c r="C249" s="1" t="n">
        <v>46192</v>
      </c>
      <c r="D249" t="inlineStr">
        <is>
          <t>VÄRMLANDS LÄN</t>
        </is>
      </c>
      <c r="E249" t="inlineStr">
        <is>
          <t>KIL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17473-2025</t>
        </is>
      </c>
      <c r="B250" s="1" t="n">
        <v>45757</v>
      </c>
      <c r="C250" s="1" t="n">
        <v>46192</v>
      </c>
      <c r="D250" t="inlineStr">
        <is>
          <t>VÄRMLANDS LÄN</t>
        </is>
      </c>
      <c r="E250" t="inlineStr">
        <is>
          <t>KIL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32839-2023</t>
        </is>
      </c>
      <c r="B251" s="1" t="n">
        <v>45109</v>
      </c>
      <c r="C251" s="1" t="n">
        <v>46192</v>
      </c>
      <c r="D251" t="inlineStr">
        <is>
          <t>VÄRMLANDS LÄN</t>
        </is>
      </c>
      <c r="E251" t="inlineStr">
        <is>
          <t>KIL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34408-2024</t>
        </is>
      </c>
      <c r="B252" s="1" t="n">
        <v>45525</v>
      </c>
      <c r="C252" s="1" t="n">
        <v>46192</v>
      </c>
      <c r="D252" t="inlineStr">
        <is>
          <t>VÄRMLANDS LÄN</t>
        </is>
      </c>
      <c r="E252" t="inlineStr">
        <is>
          <t>KIL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2688-2023</t>
        </is>
      </c>
      <c r="B253" s="1" t="n">
        <v>44942</v>
      </c>
      <c r="C253" s="1" t="n">
        <v>46192</v>
      </c>
      <c r="D253" t="inlineStr">
        <is>
          <t>VÄRMLANDS LÄN</t>
        </is>
      </c>
      <c r="E253" t="inlineStr">
        <is>
          <t>KIL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24640-2026</t>
        </is>
      </c>
      <c r="B254" s="1" t="n">
        <v>46171</v>
      </c>
      <c r="C254" s="1" t="n">
        <v>46192</v>
      </c>
      <c r="D254" t="inlineStr">
        <is>
          <t>VÄRMLANDS LÄN</t>
        </is>
      </c>
      <c r="E254" t="inlineStr">
        <is>
          <t>KIL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35449-2024</t>
        </is>
      </c>
      <c r="B255" s="1" t="n">
        <v>45531</v>
      </c>
      <c r="C255" s="1" t="n">
        <v>46192</v>
      </c>
      <c r="D255" t="inlineStr">
        <is>
          <t>VÄRMLANDS LÄN</t>
        </is>
      </c>
      <c r="E255" t="inlineStr">
        <is>
          <t>KIL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15721-2024</t>
        </is>
      </c>
      <c r="B256" s="1" t="n">
        <v>45404</v>
      </c>
      <c r="C256" s="1" t="n">
        <v>46192</v>
      </c>
      <c r="D256" t="inlineStr">
        <is>
          <t>VÄRMLANDS LÄN</t>
        </is>
      </c>
      <c r="E256" t="inlineStr">
        <is>
          <t>KIL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37360-2025</t>
        </is>
      </c>
      <c r="B257" s="1" t="n">
        <v>45877</v>
      </c>
      <c r="C257" s="1" t="n">
        <v>46192</v>
      </c>
      <c r="D257" t="inlineStr">
        <is>
          <t>VÄRMLANDS LÄN</t>
        </is>
      </c>
      <c r="E257" t="inlineStr">
        <is>
          <t>KIL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73251-2021</t>
        </is>
      </c>
      <c r="B258" s="1" t="n">
        <v>44550</v>
      </c>
      <c r="C258" s="1" t="n">
        <v>46192</v>
      </c>
      <c r="D258" t="inlineStr">
        <is>
          <t>VÄRMLANDS LÄN</t>
        </is>
      </c>
      <c r="E258" t="inlineStr">
        <is>
          <t>KIL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14984-2024</t>
        </is>
      </c>
      <c r="B259" s="1" t="n">
        <v>45399</v>
      </c>
      <c r="C259" s="1" t="n">
        <v>46192</v>
      </c>
      <c r="D259" t="inlineStr">
        <is>
          <t>VÄRMLANDS LÄN</t>
        </is>
      </c>
      <c r="E259" t="inlineStr">
        <is>
          <t>KIL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14987-2024</t>
        </is>
      </c>
      <c r="B260" s="1" t="n">
        <v>45399</v>
      </c>
      <c r="C260" s="1" t="n">
        <v>46192</v>
      </c>
      <c r="D260" t="inlineStr">
        <is>
          <t>VÄRMLANDS LÄN</t>
        </is>
      </c>
      <c r="E260" t="inlineStr">
        <is>
          <t>KIL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1843-2025</t>
        </is>
      </c>
      <c r="B261" s="1" t="n">
        <v>45671</v>
      </c>
      <c r="C261" s="1" t="n">
        <v>46192</v>
      </c>
      <c r="D261" t="inlineStr">
        <is>
          <t>VÄRMLANDS LÄN</t>
        </is>
      </c>
      <c r="E261" t="inlineStr">
        <is>
          <t>KIL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1847-2025</t>
        </is>
      </c>
      <c r="B262" s="1" t="n">
        <v>45671</v>
      </c>
      <c r="C262" s="1" t="n">
        <v>46192</v>
      </c>
      <c r="D262" t="inlineStr">
        <is>
          <t>VÄRMLANDS LÄN</t>
        </is>
      </c>
      <c r="E262" t="inlineStr">
        <is>
          <t>KIL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20259-2026</t>
        </is>
      </c>
      <c r="B263" s="1" t="n">
        <v>46139</v>
      </c>
      <c r="C263" s="1" t="n">
        <v>46192</v>
      </c>
      <c r="D263" t="inlineStr">
        <is>
          <t>VÄRMLANDS LÄN</t>
        </is>
      </c>
      <c r="E263" t="inlineStr">
        <is>
          <t>KIL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10374-2022</t>
        </is>
      </c>
      <c r="B264" s="1" t="n">
        <v>44623</v>
      </c>
      <c r="C264" s="1" t="n">
        <v>46192</v>
      </c>
      <c r="D264" t="inlineStr">
        <is>
          <t>VÄRMLANDS LÄN</t>
        </is>
      </c>
      <c r="E264" t="inlineStr">
        <is>
          <t>KIL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12281-2024</t>
        </is>
      </c>
      <c r="B265" s="1" t="n">
        <v>45378</v>
      </c>
      <c r="C265" s="1" t="n">
        <v>46192</v>
      </c>
      <c r="D265" t="inlineStr">
        <is>
          <t>VÄRMLANDS LÄN</t>
        </is>
      </c>
      <c r="E265" t="inlineStr">
        <is>
          <t>KIL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58244-2025</t>
        </is>
      </c>
      <c r="B266" s="1" t="n">
        <v>45985</v>
      </c>
      <c r="C266" s="1" t="n">
        <v>46192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24247-2025</t>
        </is>
      </c>
      <c r="B267" s="1" t="n">
        <v>45797</v>
      </c>
      <c r="C267" s="1" t="n">
        <v>46192</v>
      </c>
      <c r="D267" t="inlineStr">
        <is>
          <t>VÄRMLANDS LÄN</t>
        </is>
      </c>
      <c r="E267" t="inlineStr">
        <is>
          <t>KIL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5286-2023</t>
        </is>
      </c>
      <c r="B268" s="1" t="n">
        <v>44959</v>
      </c>
      <c r="C268" s="1" t="n">
        <v>46192</v>
      </c>
      <c r="D268" t="inlineStr">
        <is>
          <t>VÄRMLANDS LÄN</t>
        </is>
      </c>
      <c r="E268" t="inlineStr">
        <is>
          <t>KIL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5754-2025</t>
        </is>
      </c>
      <c r="B269" s="1" t="n">
        <v>45694</v>
      </c>
      <c r="C269" s="1" t="n">
        <v>46192</v>
      </c>
      <c r="D269" t="inlineStr">
        <is>
          <t>VÄRMLANDS LÄN</t>
        </is>
      </c>
      <c r="E269" t="inlineStr">
        <is>
          <t>KIL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57386-2024</t>
        </is>
      </c>
      <c r="B270" s="1" t="n">
        <v>45629</v>
      </c>
      <c r="C270" s="1" t="n">
        <v>46192</v>
      </c>
      <c r="D270" t="inlineStr">
        <is>
          <t>VÄRMLANDS LÄN</t>
        </is>
      </c>
      <c r="E270" t="inlineStr">
        <is>
          <t>KIL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12272-2024</t>
        </is>
      </c>
      <c r="B271" s="1" t="n">
        <v>45378</v>
      </c>
      <c r="C271" s="1" t="n">
        <v>46192</v>
      </c>
      <c r="D271" t="inlineStr">
        <is>
          <t>VÄRMLANDS LÄN</t>
        </is>
      </c>
      <c r="E271" t="inlineStr">
        <is>
          <t>KIL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39055-2024</t>
        </is>
      </c>
      <c r="B272" s="1" t="n">
        <v>45548</v>
      </c>
      <c r="C272" s="1" t="n">
        <v>46192</v>
      </c>
      <c r="D272" t="inlineStr">
        <is>
          <t>VÄRMLANDS LÄN</t>
        </is>
      </c>
      <c r="E272" t="inlineStr">
        <is>
          <t>KIL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55444-2025</t>
        </is>
      </c>
      <c r="B273" s="1" t="n">
        <v>45971</v>
      </c>
      <c r="C273" s="1" t="n">
        <v>46192</v>
      </c>
      <c r="D273" t="inlineStr">
        <is>
          <t>VÄRMLANDS LÄN</t>
        </is>
      </c>
      <c r="E273" t="inlineStr">
        <is>
          <t>KIL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21032-2023</t>
        </is>
      </c>
      <c r="B274" s="1" t="n">
        <v>45061</v>
      </c>
      <c r="C274" s="1" t="n">
        <v>46192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46192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17329-2025</t>
        </is>
      </c>
      <c r="B276" s="1" t="n">
        <v>45756</v>
      </c>
      <c r="C276" s="1" t="n">
        <v>46192</v>
      </c>
      <c r="D276" t="inlineStr">
        <is>
          <t>VÄRMLANDS LÄN</t>
        </is>
      </c>
      <c r="E276" t="inlineStr">
        <is>
          <t>KIL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56765-2021</t>
        </is>
      </c>
      <c r="B277" s="1" t="n">
        <v>44481</v>
      </c>
      <c r="C277" s="1" t="n">
        <v>46192</v>
      </c>
      <c r="D277" t="inlineStr">
        <is>
          <t>VÄRMLANDS LÄN</t>
        </is>
      </c>
      <c r="E277" t="inlineStr">
        <is>
          <t>KIL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46998-2024</t>
        </is>
      </c>
      <c r="B278" s="1" t="n">
        <v>45586</v>
      </c>
      <c r="C278" s="1" t="n">
        <v>46192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53958-2024</t>
        </is>
      </c>
      <c r="B279" s="1" t="n">
        <v>45616</v>
      </c>
      <c r="C279" s="1" t="n">
        <v>46192</v>
      </c>
      <c r="D279" t="inlineStr">
        <is>
          <t>VÄRMLANDS LÄN</t>
        </is>
      </c>
      <c r="E279" t="inlineStr">
        <is>
          <t>KIL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65008-2023</t>
        </is>
      </c>
      <c r="B280" s="1" t="n">
        <v>45287</v>
      </c>
      <c r="C280" s="1" t="n">
        <v>46192</v>
      </c>
      <c r="D280" t="inlineStr">
        <is>
          <t>VÄRMLANDS LÄN</t>
        </is>
      </c>
      <c r="E280" t="inlineStr">
        <is>
          <t>KIL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20184-2026</t>
        </is>
      </c>
      <c r="B281" s="1" t="n">
        <v>46139</v>
      </c>
      <c r="C281" s="1" t="n">
        <v>46192</v>
      </c>
      <c r="D281" t="inlineStr">
        <is>
          <t>VÄRMLANDS LÄN</t>
        </is>
      </c>
      <c r="E281" t="inlineStr">
        <is>
          <t>KIL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2-2023</t>
        </is>
      </c>
      <c r="B282" s="1" t="n">
        <v>44927</v>
      </c>
      <c r="C282" s="1" t="n">
        <v>46192</v>
      </c>
      <c r="D282" t="inlineStr">
        <is>
          <t>VÄRMLANDS LÄN</t>
        </is>
      </c>
      <c r="E282" t="inlineStr">
        <is>
          <t>KIL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14618-2025</t>
        </is>
      </c>
      <c r="B283" s="1" t="n">
        <v>45742</v>
      </c>
      <c r="C283" s="1" t="n">
        <v>46192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4832-2022</t>
        </is>
      </c>
      <c r="B284" s="1" t="n">
        <v>44592</v>
      </c>
      <c r="C284" s="1" t="n">
        <v>46192</v>
      </c>
      <c r="D284" t="inlineStr">
        <is>
          <t>VÄRMLANDS LÄN</t>
        </is>
      </c>
      <c r="E284" t="inlineStr">
        <is>
          <t>KIL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62667-2023</t>
        </is>
      </c>
      <c r="B285" s="1" t="n">
        <v>45271</v>
      </c>
      <c r="C285" s="1" t="n">
        <v>46192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26438-2025</t>
        </is>
      </c>
      <c r="B286" s="1" t="n">
        <v>45807</v>
      </c>
      <c r="C286" s="1" t="n">
        <v>46192</v>
      </c>
      <c r="D286" t="inlineStr">
        <is>
          <t>VÄRMLANDS LÄN</t>
        </is>
      </c>
      <c r="E286" t="inlineStr">
        <is>
          <t>KIL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26910-2025</t>
        </is>
      </c>
      <c r="B287" s="1" t="n">
        <v>45811</v>
      </c>
      <c r="C287" s="1" t="n">
        <v>46192</v>
      </c>
      <c r="D287" t="inlineStr">
        <is>
          <t>VÄRMLANDS LÄN</t>
        </is>
      </c>
      <c r="E287" t="inlineStr">
        <is>
          <t>KIL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33475-2024</t>
        </is>
      </c>
      <c r="B288" s="1" t="n">
        <v>45519</v>
      </c>
      <c r="C288" s="1" t="n">
        <v>46192</v>
      </c>
      <c r="D288" t="inlineStr">
        <is>
          <t>VÄRMLANDS LÄN</t>
        </is>
      </c>
      <c r="E288" t="inlineStr">
        <is>
          <t>KIL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43194-2025</t>
        </is>
      </c>
      <c r="B289" s="1" t="n">
        <v>45910</v>
      </c>
      <c r="C289" s="1" t="n">
        <v>46192</v>
      </c>
      <c r="D289" t="inlineStr">
        <is>
          <t>VÄRMLANDS LÄN</t>
        </is>
      </c>
      <c r="E289" t="inlineStr">
        <is>
          <t>KIL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27638-2026</t>
        </is>
      </c>
      <c r="B290" s="1" t="n">
        <v>46190</v>
      </c>
      <c r="C290" s="1" t="n">
        <v>46192</v>
      </c>
      <c r="D290" t="inlineStr">
        <is>
          <t>VÄRMLANDS LÄN</t>
        </is>
      </c>
      <c r="E290" t="inlineStr">
        <is>
          <t>KIL</t>
        </is>
      </c>
      <c r="F290" t="inlineStr">
        <is>
          <t>Kyrkan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2026-06-19T00:43:04Z</dcterms:created>
  <dcterms:modified xmlns:dcterms="http://purl.org/dc/terms/" xmlns:xsi="http://www.w3.org/2001/XMLSchema-instance" xsi:type="dcterms:W3CDTF">2026-06-19T00:43:05Z</dcterms:modified>
</cp:coreProperties>
</file>