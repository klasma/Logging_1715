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45918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45918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45918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45918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45918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45918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45918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26849-2023</t>
        </is>
      </c>
      <c r="B9" s="1" t="n">
        <v>45093</v>
      </c>
      <c r="C9" s="1" t="n">
        <v>45918</v>
      </c>
      <c r="D9" t="inlineStr">
        <is>
          <t>VÄRMLANDS LÄN</t>
        </is>
      </c>
      <c r="E9" t="inlineStr">
        <is>
          <t>KIL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HYPERLINK("https://klasma.github.io/Logging_1715/artfynd/A 26849-2023 artfynd.xlsx", "A 26849-2023")</f>
        <v/>
      </c>
      <c r="T9">
        <f>HYPERLINK("https://klasma.github.io/Logging_1715/kartor/A 26849-2023 karta.png", "A 26849-2023")</f>
        <v/>
      </c>
      <c r="V9">
        <f>HYPERLINK("https://klasma.github.io/Logging_1715/klagomål/A 26849-2023 FSC-klagomål.docx", "A 26849-2023")</f>
        <v/>
      </c>
      <c r="W9">
        <f>HYPERLINK("https://klasma.github.io/Logging_1715/klagomålsmail/A 26849-2023 FSC-klagomål mail.docx", "A 26849-2023")</f>
        <v/>
      </c>
      <c r="X9">
        <f>HYPERLINK("https://klasma.github.io/Logging_1715/tillsyn/A 26849-2023 tillsynsbegäran.docx", "A 26849-2023")</f>
        <v/>
      </c>
      <c r="Y9">
        <f>HYPERLINK("https://klasma.github.io/Logging_1715/tillsynsmail/A 26849-2023 tillsynsbegäran mail.docx", "A 26849-2023")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45918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45918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45918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45918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45918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45918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64553-2021</t>
        </is>
      </c>
      <c r="B16" s="1" t="n">
        <v>44511.6452199074</v>
      </c>
      <c r="C16" s="1" t="n">
        <v>45918</v>
      </c>
      <c r="D16" t="inlineStr">
        <is>
          <t>VÄRMLANDS LÄN</t>
        </is>
      </c>
      <c r="E16" t="inlineStr">
        <is>
          <t>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45918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45918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45918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45918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45918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45918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45918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45918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45918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45918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45918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45918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45918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45918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45918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45918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45918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45918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45918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45918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45918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45918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45918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45918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45918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45918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45918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45918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45918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45918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45918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45918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12424-2021</t>
        </is>
      </c>
      <c r="B49" s="1" t="n">
        <v>44266</v>
      </c>
      <c r="C49" s="1" t="n">
        <v>45918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45918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45918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45918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45918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51867-2020</t>
        </is>
      </c>
      <c r="B54" s="1" t="n">
        <v>44109</v>
      </c>
      <c r="C54" s="1" t="n">
        <v>45918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40107-2022</t>
        </is>
      </c>
      <c r="B55" s="1" t="n">
        <v>44820.49023148148</v>
      </c>
      <c r="C55" s="1" t="n">
        <v>45918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4448-2022</t>
        </is>
      </c>
      <c r="B56" s="1" t="n">
        <v>44589</v>
      </c>
      <c r="C56" s="1" t="n">
        <v>45918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1269-2021</t>
        </is>
      </c>
      <c r="B57" s="1" t="n">
        <v>44208</v>
      </c>
      <c r="C57" s="1" t="n">
        <v>45918</v>
      </c>
      <c r="D57" t="inlineStr">
        <is>
          <t>VÄRMLANDS LÄN</t>
        </is>
      </c>
      <c r="E57" t="inlineStr">
        <is>
          <t>KIL</t>
        </is>
      </c>
      <c r="F57" t="inlineStr">
        <is>
          <t>Kyrkan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HYPERLINK("https://klasma.github.io/Logging_1715/knärot/A 1269-2021 karta knärot.png", "A 1269-2021")</f>
        <v/>
      </c>
      <c r="V57">
        <f>HYPERLINK("https://klasma.github.io/Logging_1715/klagomål/A 1269-2021 FSC-klagomål.docx", "A 1269-2021")</f>
        <v/>
      </c>
      <c r="W57">
        <f>HYPERLINK("https://klasma.github.io/Logging_1715/klagomålsmail/A 1269-2021 FSC-klagomål mail.docx", "A 1269-2021")</f>
        <v/>
      </c>
      <c r="X57">
        <f>HYPERLINK("https://klasma.github.io/Logging_1715/tillsyn/A 1269-2021 tillsynsbegäran.docx", "A 1269-2021")</f>
        <v/>
      </c>
      <c r="Y57">
        <f>HYPERLINK("https://klasma.github.io/Logging_1715/tillsynsmail/A 1269-2021 tillsynsbegäran mail.docx", "A 1269-2021")</f>
        <v/>
      </c>
    </row>
    <row r="58" ht="15" customHeight="1">
      <c r="A58" t="inlineStr">
        <is>
          <t>A 7653-2022</t>
        </is>
      </c>
      <c r="B58" s="1" t="n">
        <v>44607</v>
      </c>
      <c r="C58" s="1" t="n">
        <v>45918</v>
      </c>
      <c r="D58" t="inlineStr">
        <is>
          <t>VÄRMLANDS LÄN</t>
        </is>
      </c>
      <c r="E58" t="inlineStr">
        <is>
          <t>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55059-2021</t>
        </is>
      </c>
      <c r="B59" s="1" t="n">
        <v>44474.6218287037</v>
      </c>
      <c r="C59" s="1" t="n">
        <v>45918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64552-2021</t>
        </is>
      </c>
      <c r="B60" s="1" t="n">
        <v>44511.63989583333</v>
      </c>
      <c r="C60" s="1" t="n">
        <v>45918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45918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62135-2021</t>
        </is>
      </c>
      <c r="B62" s="1" t="n">
        <v>44502</v>
      </c>
      <c r="C62" s="1" t="n">
        <v>45918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4450-2022</t>
        </is>
      </c>
      <c r="B63" s="1" t="n">
        <v>44589</v>
      </c>
      <c r="C63" s="1" t="n">
        <v>45918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57314-2021</t>
        </is>
      </c>
      <c r="B64" s="1" t="n">
        <v>44483.44457175926</v>
      </c>
      <c r="C64" s="1" t="n">
        <v>45918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64543-2021</t>
        </is>
      </c>
      <c r="B65" s="1" t="n">
        <v>44511.6343287037</v>
      </c>
      <c r="C65" s="1" t="n">
        <v>45918</v>
      </c>
      <c r="D65" t="inlineStr">
        <is>
          <t>VÄRMLANDS LÄN</t>
        </is>
      </c>
      <c r="E65" t="inlineStr">
        <is>
          <t>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64559-2021</t>
        </is>
      </c>
      <c r="B66" s="1" t="n">
        <v>44511.64890046296</v>
      </c>
      <c r="C66" s="1" t="n">
        <v>45918</v>
      </c>
      <c r="D66" t="inlineStr">
        <is>
          <t>VÄRMLANDS LÄN</t>
        </is>
      </c>
      <c r="E66" t="inlineStr">
        <is>
          <t>KIL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59147-2020</t>
        </is>
      </c>
      <c r="B67" s="1" t="n">
        <v>44147</v>
      </c>
      <c r="C67" s="1" t="n">
        <v>45918</v>
      </c>
      <c r="D67" t="inlineStr">
        <is>
          <t>VÄRMLANDS LÄN</t>
        </is>
      </c>
      <c r="E67" t="inlineStr">
        <is>
          <t>KIL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73022-2021</t>
        </is>
      </c>
      <c r="B68" s="1" t="n">
        <v>44550</v>
      </c>
      <c r="C68" s="1" t="n">
        <v>45918</v>
      </c>
      <c r="D68" t="inlineStr">
        <is>
          <t>VÄRMLANDS LÄN</t>
        </is>
      </c>
      <c r="E68" t="inlineStr">
        <is>
          <t>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66809-2021</t>
        </is>
      </c>
      <c r="B69" s="1" t="n">
        <v>44522.37934027778</v>
      </c>
      <c r="C69" s="1" t="n">
        <v>45918</v>
      </c>
      <c r="D69" t="inlineStr">
        <is>
          <t>VÄRMLANDS LÄN</t>
        </is>
      </c>
      <c r="E69" t="inlineStr">
        <is>
          <t>KIL</t>
        </is>
      </c>
      <c r="G69" t="n">
        <v>13.7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49030-2020</t>
        </is>
      </c>
      <c r="B70" s="1" t="n">
        <v>44102</v>
      </c>
      <c r="C70" s="1" t="n">
        <v>45918</v>
      </c>
      <c r="D70" t="inlineStr">
        <is>
          <t>VÄRMLANDS LÄN</t>
        </is>
      </c>
      <c r="E70" t="inlineStr">
        <is>
          <t>KIL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51876-2020</t>
        </is>
      </c>
      <c r="B71" s="1" t="n">
        <v>44109</v>
      </c>
      <c r="C71" s="1" t="n">
        <v>45918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37962-2022</t>
        </is>
      </c>
      <c r="B72" s="1" t="n">
        <v>44811</v>
      </c>
      <c r="C72" s="1" t="n">
        <v>45918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56762-2021</t>
        </is>
      </c>
      <c r="B73" s="1" t="n">
        <v>44481.48305555555</v>
      </c>
      <c r="C73" s="1" t="n">
        <v>45918</v>
      </c>
      <c r="D73" t="inlineStr">
        <is>
          <t>VÄRMLANDS LÄN</t>
        </is>
      </c>
      <c r="E73" t="inlineStr">
        <is>
          <t>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71728-2021</t>
        </is>
      </c>
      <c r="B74" s="1" t="n">
        <v>44543.45789351852</v>
      </c>
      <c r="C74" s="1" t="n">
        <v>45918</v>
      </c>
      <c r="D74" t="inlineStr">
        <is>
          <t>VÄRMLANDS LÄN</t>
        </is>
      </c>
      <c r="E74" t="inlineStr">
        <is>
          <t>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33907-2022</t>
        </is>
      </c>
      <c r="B75" s="1" t="n">
        <v>44790</v>
      </c>
      <c r="C75" s="1" t="n">
        <v>45918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65900-2021</t>
        </is>
      </c>
      <c r="B76" s="1" t="n">
        <v>44517.4383912037</v>
      </c>
      <c r="C76" s="1" t="n">
        <v>45918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17240-2025</t>
        </is>
      </c>
      <c r="B77" s="1" t="n">
        <v>45756.48184027777</v>
      </c>
      <c r="C77" s="1" t="n">
        <v>45918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45918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45918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11929-2023</t>
        </is>
      </c>
      <c r="B80" s="1" t="n">
        <v>44995.49393518519</v>
      </c>
      <c r="C80" s="1" t="n">
        <v>45918</v>
      </c>
      <c r="D80" t="inlineStr">
        <is>
          <t>VÄRMLANDS LÄN</t>
        </is>
      </c>
      <c r="E80" t="inlineStr">
        <is>
          <t>KIL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26645-2021</t>
        </is>
      </c>
      <c r="B81" s="1" t="n">
        <v>44348</v>
      </c>
      <c r="C81" s="1" t="n">
        <v>45918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12215-2021</t>
        </is>
      </c>
      <c r="B82" s="1" t="n">
        <v>44266</v>
      </c>
      <c r="C82" s="1" t="n">
        <v>45918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57743-2021</t>
        </is>
      </c>
      <c r="B83" s="1" t="n">
        <v>44484.54023148148</v>
      </c>
      <c r="C83" s="1" t="n">
        <v>45918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59871-2024</t>
        </is>
      </c>
      <c r="B84" s="1" t="n">
        <v>45640</v>
      </c>
      <c r="C84" s="1" t="n">
        <v>45918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2314-2022</t>
        </is>
      </c>
      <c r="B85" s="1" t="n">
        <v>44578.78197916667</v>
      </c>
      <c r="C85" s="1" t="n">
        <v>45918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58679-2021</t>
        </is>
      </c>
      <c r="B86" s="1" t="n">
        <v>44489</v>
      </c>
      <c r="C86" s="1" t="n">
        <v>45918</v>
      </c>
      <c r="D86" t="inlineStr">
        <is>
          <t>VÄRMLANDS LÄN</t>
        </is>
      </c>
      <c r="E86" t="inlineStr">
        <is>
          <t>KIL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3-2023</t>
        </is>
      </c>
      <c r="B87" s="1" t="n">
        <v>44927</v>
      </c>
      <c r="C87" s="1" t="n">
        <v>45918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14651-2024</t>
        </is>
      </c>
      <c r="B88" s="1" t="n">
        <v>45397</v>
      </c>
      <c r="C88" s="1" t="n">
        <v>45918</v>
      </c>
      <c r="D88" t="inlineStr">
        <is>
          <t>VÄRMLANDS LÄN</t>
        </is>
      </c>
      <c r="E88" t="inlineStr">
        <is>
          <t>KIL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10910-2023</t>
        </is>
      </c>
      <c r="B89" s="1" t="n">
        <v>44991</v>
      </c>
      <c r="C89" s="1" t="n">
        <v>45918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12652-2024</t>
        </is>
      </c>
      <c r="B90" s="1" t="n">
        <v>45384.35752314814</v>
      </c>
      <c r="C90" s="1" t="n">
        <v>45918</v>
      </c>
      <c r="D90" t="inlineStr">
        <is>
          <t>VÄRMLANDS LÄN</t>
        </is>
      </c>
      <c r="E90" t="inlineStr">
        <is>
          <t>KIL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14739-2025</t>
        </is>
      </c>
      <c r="B91" s="1" t="n">
        <v>45742.64630787037</v>
      </c>
      <c r="C91" s="1" t="n">
        <v>45918</v>
      </c>
      <c r="D91" t="inlineStr">
        <is>
          <t>VÄRMLANDS LÄN</t>
        </is>
      </c>
      <c r="E91" t="inlineStr">
        <is>
          <t>KIL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27792-2023</t>
        </is>
      </c>
      <c r="B92" s="1" t="n">
        <v>45098.45302083333</v>
      </c>
      <c r="C92" s="1" t="n">
        <v>45918</v>
      </c>
      <c r="D92" t="inlineStr">
        <is>
          <t>VÄRMLANDS LÄN</t>
        </is>
      </c>
      <c r="E92" t="inlineStr">
        <is>
          <t>KIL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4445-2022</t>
        </is>
      </c>
      <c r="B93" s="1" t="n">
        <v>44589</v>
      </c>
      <c r="C93" s="1" t="n">
        <v>45918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46288-2022</t>
        </is>
      </c>
      <c r="B94" s="1" t="n">
        <v>44847.71168981482</v>
      </c>
      <c r="C94" s="1" t="n">
        <v>45918</v>
      </c>
      <c r="D94" t="inlineStr">
        <is>
          <t>VÄRMLANDS LÄN</t>
        </is>
      </c>
      <c r="E94" t="inlineStr">
        <is>
          <t>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46290-2022</t>
        </is>
      </c>
      <c r="B95" s="1" t="n">
        <v>44847</v>
      </c>
      <c r="C95" s="1" t="n">
        <v>45918</v>
      </c>
      <c r="D95" t="inlineStr">
        <is>
          <t>VÄRMLANDS LÄN</t>
        </is>
      </c>
      <c r="E95" t="inlineStr">
        <is>
          <t>KIL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12280-2024</t>
        </is>
      </c>
      <c r="B96" s="1" t="n">
        <v>45378</v>
      </c>
      <c r="C96" s="1" t="n">
        <v>45918</v>
      </c>
      <c r="D96" t="inlineStr">
        <is>
          <t>VÄRMLANDS LÄN</t>
        </is>
      </c>
      <c r="E96" t="inlineStr">
        <is>
          <t>KIL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60201-2024</t>
        </is>
      </c>
      <c r="B97" s="1" t="n">
        <v>45642</v>
      </c>
      <c r="C97" s="1" t="n">
        <v>45918</v>
      </c>
      <c r="D97" t="inlineStr">
        <is>
          <t>VÄRMLANDS LÄN</t>
        </is>
      </c>
      <c r="E97" t="inlineStr">
        <is>
          <t>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14507-2025</t>
        </is>
      </c>
      <c r="B98" s="1" t="n">
        <v>45741</v>
      </c>
      <c r="C98" s="1" t="n">
        <v>45918</v>
      </c>
      <c r="D98" t="inlineStr">
        <is>
          <t>VÄRMLANDS LÄN</t>
        </is>
      </c>
      <c r="E98" t="inlineStr">
        <is>
          <t>KIL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20476-2024</t>
        </is>
      </c>
      <c r="B99" s="1" t="n">
        <v>45435.69123842593</v>
      </c>
      <c r="C99" s="1" t="n">
        <v>45918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32839-2023</t>
        </is>
      </c>
      <c r="B100" s="1" t="n">
        <v>45109</v>
      </c>
      <c r="C100" s="1" t="n">
        <v>45918</v>
      </c>
      <c r="D100" t="inlineStr">
        <is>
          <t>VÄRMLANDS LÄN</t>
        </is>
      </c>
      <c r="E100" t="inlineStr">
        <is>
          <t>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26270-2022</t>
        </is>
      </c>
      <c r="B101" s="1" t="n">
        <v>44735.5222337963</v>
      </c>
      <c r="C101" s="1" t="n">
        <v>45918</v>
      </c>
      <c r="D101" t="inlineStr">
        <is>
          <t>VÄRMLANDS LÄN</t>
        </is>
      </c>
      <c r="E101" t="inlineStr">
        <is>
          <t>KIL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45918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17797-2024</t>
        </is>
      </c>
      <c r="B103" s="1" t="n">
        <v>45418.83800925926</v>
      </c>
      <c r="C103" s="1" t="n">
        <v>45918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34408-2024</t>
        </is>
      </c>
      <c r="B104" s="1" t="n">
        <v>45525</v>
      </c>
      <c r="C104" s="1" t="n">
        <v>45918</v>
      </c>
      <c r="D104" t="inlineStr">
        <is>
          <t>VÄRMLANDS LÄN</t>
        </is>
      </c>
      <c r="E104" t="inlineStr">
        <is>
          <t>KIL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2688-2023</t>
        </is>
      </c>
      <c r="B105" s="1" t="n">
        <v>44942</v>
      </c>
      <c r="C105" s="1" t="n">
        <v>45918</v>
      </c>
      <c r="D105" t="inlineStr">
        <is>
          <t>VÄRMLANDS LÄN</t>
        </is>
      </c>
      <c r="E105" t="inlineStr">
        <is>
          <t>KIL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15957-2025</t>
        </is>
      </c>
      <c r="B106" s="1" t="n">
        <v>45749.51489583333</v>
      </c>
      <c r="C106" s="1" t="n">
        <v>45918</v>
      </c>
      <c r="D106" t="inlineStr">
        <is>
          <t>VÄRMLANDS LÄN</t>
        </is>
      </c>
      <c r="E106" t="inlineStr">
        <is>
          <t>KIL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31032-2024</t>
        </is>
      </c>
      <c r="B107" s="1" t="n">
        <v>45501.41740740741</v>
      </c>
      <c r="C107" s="1" t="n">
        <v>45918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31033-2024</t>
        </is>
      </c>
      <c r="B108" s="1" t="n">
        <v>45501.43387731481</v>
      </c>
      <c r="C108" s="1" t="n">
        <v>45918</v>
      </c>
      <c r="D108" t="inlineStr">
        <is>
          <t>VÄRMLANDS LÄN</t>
        </is>
      </c>
      <c r="E108" t="inlineStr">
        <is>
          <t>KIL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17559-2021</t>
        </is>
      </c>
      <c r="B109" s="1" t="n">
        <v>44299</v>
      </c>
      <c r="C109" s="1" t="n">
        <v>45918</v>
      </c>
      <c r="D109" t="inlineStr">
        <is>
          <t>VÄRMLANDS LÄN</t>
        </is>
      </c>
      <c r="E109" t="inlineStr">
        <is>
          <t>KIL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56641-2023</t>
        </is>
      </c>
      <c r="B110" s="1" t="n">
        <v>45243</v>
      </c>
      <c r="C110" s="1" t="n">
        <v>45918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33475-2024</t>
        </is>
      </c>
      <c r="B111" s="1" t="n">
        <v>45519</v>
      </c>
      <c r="C111" s="1" t="n">
        <v>45918</v>
      </c>
      <c r="D111" t="inlineStr">
        <is>
          <t>VÄRMLANDS LÄN</t>
        </is>
      </c>
      <c r="E111" t="inlineStr">
        <is>
          <t>KIL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2306-2024</t>
        </is>
      </c>
      <c r="B112" s="1" t="n">
        <v>45310.46356481482</v>
      </c>
      <c r="C112" s="1" t="n">
        <v>45918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14921-2025</t>
        </is>
      </c>
      <c r="B113" s="1" t="n">
        <v>45743</v>
      </c>
      <c r="C113" s="1" t="n">
        <v>45918</v>
      </c>
      <c r="D113" t="inlineStr">
        <is>
          <t>VÄRMLANDS LÄN</t>
        </is>
      </c>
      <c r="E113" t="inlineStr">
        <is>
          <t>KIL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36305-2022</t>
        </is>
      </c>
      <c r="B114" s="1" t="n">
        <v>44803.65809027778</v>
      </c>
      <c r="C114" s="1" t="n">
        <v>45918</v>
      </c>
      <c r="D114" t="inlineStr">
        <is>
          <t>VÄRMLANDS LÄN</t>
        </is>
      </c>
      <c r="E114" t="inlineStr">
        <is>
          <t>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15721-2024</t>
        </is>
      </c>
      <c r="B115" s="1" t="n">
        <v>45404.50292824074</v>
      </c>
      <c r="C115" s="1" t="n">
        <v>45918</v>
      </c>
      <c r="D115" t="inlineStr">
        <is>
          <t>VÄRMLANDS LÄN</t>
        </is>
      </c>
      <c r="E115" t="inlineStr">
        <is>
          <t>KIL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62382-2020</t>
        </is>
      </c>
      <c r="B116" s="1" t="n">
        <v>44160</v>
      </c>
      <c r="C116" s="1" t="n">
        <v>45918</v>
      </c>
      <c r="D116" t="inlineStr">
        <is>
          <t>VÄRMLANDS LÄN</t>
        </is>
      </c>
      <c r="E116" t="inlineStr">
        <is>
          <t>KIL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57211-2024</t>
        </is>
      </c>
      <c r="B117" s="1" t="n">
        <v>45629</v>
      </c>
      <c r="C117" s="1" t="n">
        <v>45918</v>
      </c>
      <c r="D117" t="inlineStr">
        <is>
          <t>VÄRMLANDS LÄN</t>
        </is>
      </c>
      <c r="E117" t="inlineStr">
        <is>
          <t>KIL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73251-2021</t>
        </is>
      </c>
      <c r="B118" s="1" t="n">
        <v>44550</v>
      </c>
      <c r="C118" s="1" t="n">
        <v>45918</v>
      </c>
      <c r="D118" t="inlineStr">
        <is>
          <t>VÄRMLANDS LÄN</t>
        </is>
      </c>
      <c r="E118" t="inlineStr">
        <is>
          <t>KIL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36971-2024</t>
        </is>
      </c>
      <c r="B119" s="1" t="n">
        <v>45538.83505787037</v>
      </c>
      <c r="C119" s="1" t="n">
        <v>45918</v>
      </c>
      <c r="D119" t="inlineStr">
        <is>
          <t>VÄRMLANDS LÄN</t>
        </is>
      </c>
      <c r="E119" t="inlineStr">
        <is>
          <t>KIL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10398-2025</t>
        </is>
      </c>
      <c r="B120" s="1" t="n">
        <v>45720</v>
      </c>
      <c r="C120" s="1" t="n">
        <v>45918</v>
      </c>
      <c r="D120" t="inlineStr">
        <is>
          <t>VÄRMLANDS LÄN</t>
        </is>
      </c>
      <c r="E120" t="inlineStr">
        <is>
          <t>KIL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14984-2024</t>
        </is>
      </c>
      <c r="B121" s="1" t="n">
        <v>45399.34143518518</v>
      </c>
      <c r="C121" s="1" t="n">
        <v>45918</v>
      </c>
      <c r="D121" t="inlineStr">
        <is>
          <t>VÄRMLANDS LÄN</t>
        </is>
      </c>
      <c r="E121" t="inlineStr">
        <is>
          <t>KIL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14987-2024</t>
        </is>
      </c>
      <c r="B122" s="1" t="n">
        <v>45399</v>
      </c>
      <c r="C122" s="1" t="n">
        <v>45918</v>
      </c>
      <c r="D122" t="inlineStr">
        <is>
          <t>VÄRMLANDS LÄN</t>
        </is>
      </c>
      <c r="E122" t="inlineStr">
        <is>
          <t>KIL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17816-2023</t>
        </is>
      </c>
      <c r="B123" s="1" t="n">
        <v>45037.58394675926</v>
      </c>
      <c r="C123" s="1" t="n">
        <v>45918</v>
      </c>
      <c r="D123" t="inlineStr">
        <is>
          <t>VÄRMLANDS LÄN</t>
        </is>
      </c>
      <c r="E123" t="inlineStr">
        <is>
          <t>KIL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57065-2021</t>
        </is>
      </c>
      <c r="B124" s="1" t="n">
        <v>44482.56591435185</v>
      </c>
      <c r="C124" s="1" t="n">
        <v>45918</v>
      </c>
      <c r="D124" t="inlineStr">
        <is>
          <t>VÄRMLANDS LÄN</t>
        </is>
      </c>
      <c r="E124" t="inlineStr">
        <is>
          <t>KIL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30787-2021</t>
        </is>
      </c>
      <c r="B125" s="1" t="n">
        <v>44365.49597222222</v>
      </c>
      <c r="C125" s="1" t="n">
        <v>45918</v>
      </c>
      <c r="D125" t="inlineStr">
        <is>
          <t>VÄRMLANDS LÄN</t>
        </is>
      </c>
      <c r="E125" t="inlineStr">
        <is>
          <t>KIL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15470-2025</t>
        </is>
      </c>
      <c r="B126" s="1" t="n">
        <v>45747</v>
      </c>
      <c r="C126" s="1" t="n">
        <v>45918</v>
      </c>
      <c r="D126" t="inlineStr">
        <is>
          <t>VÄRMLANDS LÄN</t>
        </is>
      </c>
      <c r="E126" t="inlineStr">
        <is>
          <t>KIL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10374-2022</t>
        </is>
      </c>
      <c r="B127" s="1" t="n">
        <v>44623</v>
      </c>
      <c r="C127" s="1" t="n">
        <v>45918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12281-2024</t>
        </is>
      </c>
      <c r="B128" s="1" t="n">
        <v>45378</v>
      </c>
      <c r="C128" s="1" t="n">
        <v>45918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5286-2023</t>
        </is>
      </c>
      <c r="B129" s="1" t="n">
        <v>44959</v>
      </c>
      <c r="C129" s="1" t="n">
        <v>45918</v>
      </c>
      <c r="D129" t="inlineStr">
        <is>
          <t>VÄRMLANDS LÄN</t>
        </is>
      </c>
      <c r="E129" t="inlineStr">
        <is>
          <t>KIL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15962-2025</t>
        </is>
      </c>
      <c r="B130" s="1" t="n">
        <v>45749</v>
      </c>
      <c r="C130" s="1" t="n">
        <v>45918</v>
      </c>
      <c r="D130" t="inlineStr">
        <is>
          <t>VÄRMLANDS LÄN</t>
        </is>
      </c>
      <c r="E130" t="inlineStr">
        <is>
          <t>KIL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5754-2025</t>
        </is>
      </c>
      <c r="B131" s="1" t="n">
        <v>45694</v>
      </c>
      <c r="C131" s="1" t="n">
        <v>45918</v>
      </c>
      <c r="D131" t="inlineStr">
        <is>
          <t>VÄRMLANDS LÄN</t>
        </is>
      </c>
      <c r="E131" t="inlineStr">
        <is>
          <t>KIL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57386-2024</t>
        </is>
      </c>
      <c r="B132" s="1" t="n">
        <v>45629</v>
      </c>
      <c r="C132" s="1" t="n">
        <v>45918</v>
      </c>
      <c r="D132" t="inlineStr">
        <is>
          <t>VÄRMLANDS LÄN</t>
        </is>
      </c>
      <c r="E132" t="inlineStr">
        <is>
          <t>KIL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12272-2024</t>
        </is>
      </c>
      <c r="B133" s="1" t="n">
        <v>45378</v>
      </c>
      <c r="C133" s="1" t="n">
        <v>45918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14675-2024</t>
        </is>
      </c>
      <c r="B134" s="1" t="n">
        <v>45397.45333333333</v>
      </c>
      <c r="C134" s="1" t="n">
        <v>45918</v>
      </c>
      <c r="D134" t="inlineStr">
        <is>
          <t>VÄRMLANDS LÄN</t>
        </is>
      </c>
      <c r="E134" t="inlineStr">
        <is>
          <t>KIL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39055-2024</t>
        </is>
      </c>
      <c r="B135" s="1" t="n">
        <v>45548</v>
      </c>
      <c r="C135" s="1" t="n">
        <v>45918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12195-2025</t>
        </is>
      </c>
      <c r="B136" s="1" t="n">
        <v>45729</v>
      </c>
      <c r="C136" s="1" t="n">
        <v>45918</v>
      </c>
      <c r="D136" t="inlineStr">
        <is>
          <t>VÄRMLANDS LÄN</t>
        </is>
      </c>
      <c r="E136" t="inlineStr">
        <is>
          <t>KIL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52526-2021</t>
        </is>
      </c>
      <c r="B137" s="1" t="n">
        <v>44466</v>
      </c>
      <c r="C137" s="1" t="n">
        <v>45918</v>
      </c>
      <c r="D137" t="inlineStr">
        <is>
          <t>VÄRMLANDS LÄN</t>
        </is>
      </c>
      <c r="E137" t="inlineStr">
        <is>
          <t>KIL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6503-2025</t>
        </is>
      </c>
      <c r="B138" s="1" t="n">
        <v>45699</v>
      </c>
      <c r="C138" s="1" t="n">
        <v>45918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36296-2022</t>
        </is>
      </c>
      <c r="B139" s="1" t="n">
        <v>44803</v>
      </c>
      <c r="C139" s="1" t="n">
        <v>45918</v>
      </c>
      <c r="D139" t="inlineStr">
        <is>
          <t>VÄRMLANDS LÄN</t>
        </is>
      </c>
      <c r="E139" t="inlineStr">
        <is>
          <t>KIL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15477-2025</t>
        </is>
      </c>
      <c r="B140" s="1" t="n">
        <v>45747.54640046296</v>
      </c>
      <c r="C140" s="1" t="n">
        <v>45918</v>
      </c>
      <c r="D140" t="inlineStr">
        <is>
          <t>VÄRMLANDS LÄN</t>
        </is>
      </c>
      <c r="E140" t="inlineStr">
        <is>
          <t>KIL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21032-2023</t>
        </is>
      </c>
      <c r="B141" s="1" t="n">
        <v>45061.56636574074</v>
      </c>
      <c r="C141" s="1" t="n">
        <v>45918</v>
      </c>
      <c r="D141" t="inlineStr">
        <is>
          <t>VÄRMLANDS LÄN</t>
        </is>
      </c>
      <c r="E141" t="inlineStr">
        <is>
          <t>KIL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57483-2022</t>
        </is>
      </c>
      <c r="B142" s="1" t="n">
        <v>44896</v>
      </c>
      <c r="C142" s="1" t="n">
        <v>45918</v>
      </c>
      <c r="D142" t="inlineStr">
        <is>
          <t>VÄRMLANDS LÄN</t>
        </is>
      </c>
      <c r="E142" t="inlineStr">
        <is>
          <t>KIL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7586-2025</t>
        </is>
      </c>
      <c r="B143" s="1" t="n">
        <v>45705</v>
      </c>
      <c r="C143" s="1" t="n">
        <v>45918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56765-2021</t>
        </is>
      </c>
      <c r="B144" s="1" t="n">
        <v>44481.49040509259</v>
      </c>
      <c r="C144" s="1" t="n">
        <v>45918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35817-2021</t>
        </is>
      </c>
      <c r="B145" s="1" t="n">
        <v>44386</v>
      </c>
      <c r="C145" s="1" t="n">
        <v>45918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242-2024</t>
        </is>
      </c>
      <c r="B146" s="1" t="n">
        <v>45294</v>
      </c>
      <c r="C146" s="1" t="n">
        <v>45918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6015-2023</t>
        </is>
      </c>
      <c r="B147" s="1" t="n">
        <v>44964.41993055555</v>
      </c>
      <c r="C147" s="1" t="n">
        <v>45918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29615-2022</t>
        </is>
      </c>
      <c r="B148" s="1" t="n">
        <v>44754</v>
      </c>
      <c r="C148" s="1" t="n">
        <v>45918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46998-2024</t>
        </is>
      </c>
      <c r="B149" s="1" t="n">
        <v>45586.37576388889</v>
      </c>
      <c r="C149" s="1" t="n">
        <v>45918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53958-2024</t>
        </is>
      </c>
      <c r="B150" s="1" t="n">
        <v>45616</v>
      </c>
      <c r="C150" s="1" t="n">
        <v>45918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8911-2025</t>
        </is>
      </c>
      <c r="B151" s="1" t="n">
        <v>45713</v>
      </c>
      <c r="C151" s="1" t="n">
        <v>45918</v>
      </c>
      <c r="D151" t="inlineStr">
        <is>
          <t>VÄRMLANDS LÄN</t>
        </is>
      </c>
      <c r="E151" t="inlineStr">
        <is>
          <t>KIL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61210-2023</t>
        </is>
      </c>
      <c r="B152" s="1" t="n">
        <v>45264.3956712963</v>
      </c>
      <c r="C152" s="1" t="n">
        <v>45918</v>
      </c>
      <c r="D152" t="inlineStr">
        <is>
          <t>VÄRMLANDS LÄN</t>
        </is>
      </c>
      <c r="E152" t="inlineStr">
        <is>
          <t>KIL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20743-2024</t>
        </is>
      </c>
      <c r="B153" s="1" t="n">
        <v>45436</v>
      </c>
      <c r="C153" s="1" t="n">
        <v>45918</v>
      </c>
      <c r="D153" t="inlineStr">
        <is>
          <t>VÄRMLANDS LÄN</t>
        </is>
      </c>
      <c r="E153" t="inlineStr">
        <is>
          <t>KIL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44646-2024</t>
        </is>
      </c>
      <c r="B154" s="1" t="n">
        <v>45574</v>
      </c>
      <c r="C154" s="1" t="n">
        <v>45918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65004-2023</t>
        </is>
      </c>
      <c r="B155" s="1" t="n">
        <v>45287</v>
      </c>
      <c r="C155" s="1" t="n">
        <v>45918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65008-2023</t>
        </is>
      </c>
      <c r="B156" s="1" t="n">
        <v>45287</v>
      </c>
      <c r="C156" s="1" t="n">
        <v>45918</v>
      </c>
      <c r="D156" t="inlineStr">
        <is>
          <t>VÄRMLANDS LÄN</t>
        </is>
      </c>
      <c r="E156" t="inlineStr">
        <is>
          <t>KIL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17946-2024</t>
        </is>
      </c>
      <c r="B157" s="1" t="n">
        <v>45419.63671296297</v>
      </c>
      <c r="C157" s="1" t="n">
        <v>45918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2-2023</t>
        </is>
      </c>
      <c r="B158" s="1" t="n">
        <v>44927.65268518519</v>
      </c>
      <c r="C158" s="1" t="n">
        <v>45918</v>
      </c>
      <c r="D158" t="inlineStr">
        <is>
          <t>VÄRMLANDS LÄN</t>
        </is>
      </c>
      <c r="E158" t="inlineStr">
        <is>
          <t>KIL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16868-2025</t>
        </is>
      </c>
      <c r="B159" s="1" t="n">
        <v>45754.88141203704</v>
      </c>
      <c r="C159" s="1" t="n">
        <v>45918</v>
      </c>
      <c r="D159" t="inlineStr">
        <is>
          <t>VÄRMLANDS LÄN</t>
        </is>
      </c>
      <c r="E159" t="inlineStr">
        <is>
          <t>KIL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35611-2024</t>
        </is>
      </c>
      <c r="B160" s="1" t="n">
        <v>45531</v>
      </c>
      <c r="C160" s="1" t="n">
        <v>45918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14618-2025</t>
        </is>
      </c>
      <c r="B161" s="1" t="n">
        <v>45742</v>
      </c>
      <c r="C161" s="1" t="n">
        <v>45918</v>
      </c>
      <c r="D161" t="inlineStr">
        <is>
          <t>VÄRMLANDS LÄN</t>
        </is>
      </c>
      <c r="E161" t="inlineStr">
        <is>
          <t>KIL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59938-2024</t>
        </is>
      </c>
      <c r="B162" s="1" t="n">
        <v>45642.32818287037</v>
      </c>
      <c r="C162" s="1" t="n">
        <v>45918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4832-2022</t>
        </is>
      </c>
      <c r="B163" s="1" t="n">
        <v>44592.81854166667</v>
      </c>
      <c r="C163" s="1" t="n">
        <v>45918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53956-2024</t>
        </is>
      </c>
      <c r="B164" s="1" t="n">
        <v>45616</v>
      </c>
      <c r="C164" s="1" t="n">
        <v>45918</v>
      </c>
      <c r="D164" t="inlineStr">
        <is>
          <t>VÄRMLANDS LÄN</t>
        </is>
      </c>
      <c r="E164" t="inlineStr">
        <is>
          <t>KIL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31621-2022</t>
        </is>
      </c>
      <c r="B165" s="1" t="n">
        <v>44775</v>
      </c>
      <c r="C165" s="1" t="n">
        <v>45918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62667-2023</t>
        </is>
      </c>
      <c r="B166" s="1" t="n">
        <v>45271.45626157407</v>
      </c>
      <c r="C166" s="1" t="n">
        <v>45918</v>
      </c>
      <c r="D166" t="inlineStr">
        <is>
          <t>VÄRMLANDS LÄN</t>
        </is>
      </c>
      <c r="E166" t="inlineStr">
        <is>
          <t>KIL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38760-2023</t>
        </is>
      </c>
      <c r="B167" s="1" t="n">
        <v>45163</v>
      </c>
      <c r="C167" s="1" t="n">
        <v>45918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49604-2023</t>
        </is>
      </c>
      <c r="B168" s="1" t="n">
        <v>45207</v>
      </c>
      <c r="C168" s="1" t="n">
        <v>45918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249-2022</t>
        </is>
      </c>
      <c r="B169" s="1" t="n">
        <v>44565</v>
      </c>
      <c r="C169" s="1" t="n">
        <v>45918</v>
      </c>
      <c r="D169" t="inlineStr">
        <is>
          <t>VÄRMLANDS LÄN</t>
        </is>
      </c>
      <c r="E169" t="inlineStr">
        <is>
          <t>KIL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53957-2024</t>
        </is>
      </c>
      <c r="B170" s="1" t="n">
        <v>45616</v>
      </c>
      <c r="C170" s="1" t="n">
        <v>45918</v>
      </c>
      <c r="D170" t="inlineStr">
        <is>
          <t>VÄRMLANDS LÄN</t>
        </is>
      </c>
      <c r="E170" t="inlineStr">
        <is>
          <t>KIL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58935-2024</t>
        </is>
      </c>
      <c r="B171" s="1" t="n">
        <v>45636</v>
      </c>
      <c r="C171" s="1" t="n">
        <v>45918</v>
      </c>
      <c r="D171" t="inlineStr">
        <is>
          <t>VÄRMLANDS LÄN</t>
        </is>
      </c>
      <c r="E171" t="inlineStr">
        <is>
          <t>KIL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17806-2023</t>
        </is>
      </c>
      <c r="B172" s="1" t="n">
        <v>45037.57375</v>
      </c>
      <c r="C172" s="1" t="n">
        <v>45918</v>
      </c>
      <c r="D172" t="inlineStr">
        <is>
          <t>VÄRMLANDS LÄN</t>
        </is>
      </c>
      <c r="E172" t="inlineStr">
        <is>
          <t>KIL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24635-2024</t>
        </is>
      </c>
      <c r="B173" s="1" t="n">
        <v>45460</v>
      </c>
      <c r="C173" s="1" t="n">
        <v>45918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39492-2023</t>
        </is>
      </c>
      <c r="B174" s="1" t="n">
        <v>45166</v>
      </c>
      <c r="C174" s="1" t="n">
        <v>45918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24.9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28195-2022</t>
        </is>
      </c>
      <c r="B175" s="1" t="n">
        <v>44746</v>
      </c>
      <c r="C175" s="1" t="n">
        <v>45918</v>
      </c>
      <c r="D175" t="inlineStr">
        <is>
          <t>VÄRMLANDS LÄN</t>
        </is>
      </c>
      <c r="E175" t="inlineStr">
        <is>
          <t>KIL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17329-2025</t>
        </is>
      </c>
      <c r="B176" s="1" t="n">
        <v>45756.64131944445</v>
      </c>
      <c r="C176" s="1" t="n">
        <v>45918</v>
      </c>
      <c r="D176" t="inlineStr">
        <is>
          <t>VÄRMLANDS LÄN</t>
        </is>
      </c>
      <c r="E176" t="inlineStr">
        <is>
          <t>KIL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64518-2021</t>
        </is>
      </c>
      <c r="B177" s="1" t="n">
        <v>44511.61383101852</v>
      </c>
      <c r="C177" s="1" t="n">
        <v>45918</v>
      </c>
      <c r="D177" t="inlineStr">
        <is>
          <t>VÄRMLANDS LÄN</t>
        </is>
      </c>
      <c r="E177" t="inlineStr">
        <is>
          <t>KIL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25409-2024</t>
        </is>
      </c>
      <c r="B178" s="1" t="n">
        <v>45463</v>
      </c>
      <c r="C178" s="1" t="n">
        <v>45918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43285-2024</t>
        </is>
      </c>
      <c r="B179" s="1" t="n">
        <v>45568</v>
      </c>
      <c r="C179" s="1" t="n">
        <v>45918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2263-2023</t>
        </is>
      </c>
      <c r="B180" s="1" t="n">
        <v>44941</v>
      </c>
      <c r="C180" s="1" t="n">
        <v>45918</v>
      </c>
      <c r="D180" t="inlineStr">
        <is>
          <t>VÄRMLANDS LÄN</t>
        </is>
      </c>
      <c r="E180" t="inlineStr">
        <is>
          <t>KIL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53959-2024</t>
        </is>
      </c>
      <c r="B181" s="1" t="n">
        <v>45616</v>
      </c>
      <c r="C181" s="1" t="n">
        <v>45918</v>
      </c>
      <c r="D181" t="inlineStr">
        <is>
          <t>VÄRMLANDS LÄN</t>
        </is>
      </c>
      <c r="E181" t="inlineStr">
        <is>
          <t>KIL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16609-2025</t>
        </is>
      </c>
      <c r="B182" s="1" t="n">
        <v>45753</v>
      </c>
      <c r="C182" s="1" t="n">
        <v>45918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50461-2024</t>
        </is>
      </c>
      <c r="B183" s="1" t="n">
        <v>45601.45766203704</v>
      </c>
      <c r="C183" s="1" t="n">
        <v>45918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6687-2023</t>
        </is>
      </c>
      <c r="B184" s="1" t="n">
        <v>44966.65414351852</v>
      </c>
      <c r="C184" s="1" t="n">
        <v>45918</v>
      </c>
      <c r="D184" t="inlineStr">
        <is>
          <t>VÄRMLANDS LÄN</t>
        </is>
      </c>
      <c r="E184" t="inlineStr">
        <is>
          <t>KIL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61229-2022</t>
        </is>
      </c>
      <c r="B185" s="1" t="n">
        <v>44915.56481481482</v>
      </c>
      <c r="C185" s="1" t="n">
        <v>45918</v>
      </c>
      <c r="D185" t="inlineStr">
        <is>
          <t>VÄRMLANDS LÄN</t>
        </is>
      </c>
      <c r="E185" t="inlineStr">
        <is>
          <t>KIL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14954-2024</t>
        </is>
      </c>
      <c r="B186" s="1" t="n">
        <v>45398.85325231482</v>
      </c>
      <c r="C186" s="1" t="n">
        <v>45918</v>
      </c>
      <c r="D186" t="inlineStr">
        <is>
          <t>VÄRMLANDS LÄN</t>
        </is>
      </c>
      <c r="E186" t="inlineStr">
        <is>
          <t>KIL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12930-2025</t>
        </is>
      </c>
      <c r="B187" s="1" t="n">
        <v>45734</v>
      </c>
      <c r="C187" s="1" t="n">
        <v>45918</v>
      </c>
      <c r="D187" t="inlineStr">
        <is>
          <t>VÄRMLANDS LÄN</t>
        </is>
      </c>
      <c r="E187" t="inlineStr">
        <is>
          <t>KIL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65002-2023</t>
        </is>
      </c>
      <c r="B188" s="1" t="n">
        <v>45287</v>
      </c>
      <c r="C188" s="1" t="n">
        <v>45918</v>
      </c>
      <c r="D188" t="inlineStr">
        <is>
          <t>VÄRMLANDS LÄN</t>
        </is>
      </c>
      <c r="E188" t="inlineStr">
        <is>
          <t>KIL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44510.59939814815</v>
      </c>
      <c r="C189" s="1" t="n">
        <v>45918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46445-2024</t>
        </is>
      </c>
      <c r="B190" s="1" t="n">
        <v>45582.49783564815</v>
      </c>
      <c r="C190" s="1" t="n">
        <v>45918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59064-2023</t>
        </is>
      </c>
      <c r="B191" s="1" t="n">
        <v>45252</v>
      </c>
      <c r="C191" s="1" t="n">
        <v>45918</v>
      </c>
      <c r="D191" t="inlineStr">
        <is>
          <t>VÄRMLANDS LÄN</t>
        </is>
      </c>
      <c r="E191" t="inlineStr">
        <is>
          <t>KIL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HYPERLINK("https://klasma.github.io/Logging_1715/knärot/A 59064-2023 karta knärot.png", "A 59064-2023")</f>
        <v/>
      </c>
      <c r="V191">
        <f>HYPERLINK("https://klasma.github.io/Logging_1715/klagomål/A 59064-2023 FSC-klagomål.docx", "A 59064-2023")</f>
        <v/>
      </c>
      <c r="W191">
        <f>HYPERLINK("https://klasma.github.io/Logging_1715/klagomålsmail/A 59064-2023 FSC-klagomål mail.docx", "A 59064-2023")</f>
        <v/>
      </c>
      <c r="X191">
        <f>HYPERLINK("https://klasma.github.io/Logging_1715/tillsyn/A 59064-2023 tillsynsbegäran.docx", "A 59064-2023")</f>
        <v/>
      </c>
      <c r="Y191">
        <f>HYPERLINK("https://klasma.github.io/Logging_1715/tillsynsmail/A 59064-2023 tillsynsbegäran mail.docx", "A 59064-2023")</f>
        <v/>
      </c>
    </row>
    <row r="192" ht="15" customHeight="1">
      <c r="A192" t="inlineStr">
        <is>
          <t>A 22008-2025</t>
        </is>
      </c>
      <c r="B192" s="1" t="n">
        <v>45784</v>
      </c>
      <c r="C192" s="1" t="n">
        <v>45918</v>
      </c>
      <c r="D192" t="inlineStr">
        <is>
          <t>VÄRMLANDS LÄN</t>
        </is>
      </c>
      <c r="E192" t="inlineStr">
        <is>
          <t>KIL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4069-2025</t>
        </is>
      </c>
      <c r="B193" s="1" t="n">
        <v>45684</v>
      </c>
      <c r="C193" s="1" t="n">
        <v>45918</v>
      </c>
      <c r="D193" t="inlineStr">
        <is>
          <t>VÄRMLANDS LÄN</t>
        </is>
      </c>
      <c r="E193" t="inlineStr">
        <is>
          <t>KIL</t>
        </is>
      </c>
      <c r="F193" t="inlineStr">
        <is>
          <t>Kommuner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44660-2024</t>
        </is>
      </c>
      <c r="B194" s="1" t="n">
        <v>45574</v>
      </c>
      <c r="C194" s="1" t="n">
        <v>45918</v>
      </c>
      <c r="D194" t="inlineStr">
        <is>
          <t>VÄRMLANDS LÄN</t>
        </is>
      </c>
      <c r="E194" t="inlineStr">
        <is>
          <t>KIL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44666-2024</t>
        </is>
      </c>
      <c r="B195" s="1" t="n">
        <v>45574.53435185185</v>
      </c>
      <c r="C195" s="1" t="n">
        <v>45918</v>
      </c>
      <c r="D195" t="inlineStr">
        <is>
          <t>VÄRMLANDS LÄN</t>
        </is>
      </c>
      <c r="E195" t="inlineStr">
        <is>
          <t>KIL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20745-2024</t>
        </is>
      </c>
      <c r="B196" s="1" t="n">
        <v>45436</v>
      </c>
      <c r="C196" s="1" t="n">
        <v>45918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22009-2025</t>
        </is>
      </c>
      <c r="B197" s="1" t="n">
        <v>45784</v>
      </c>
      <c r="C197" s="1" t="n">
        <v>45918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57220-2024</t>
        </is>
      </c>
      <c r="B198" s="1" t="n">
        <v>45629</v>
      </c>
      <c r="C198" s="1" t="n">
        <v>45918</v>
      </c>
      <c r="D198" t="inlineStr">
        <is>
          <t>VÄRMLANDS LÄN</t>
        </is>
      </c>
      <c r="E198" t="inlineStr">
        <is>
          <t>KIL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38835-2024</t>
        </is>
      </c>
      <c r="B199" s="1" t="n">
        <v>45547</v>
      </c>
      <c r="C199" s="1" t="n">
        <v>45918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3851-2025</t>
        </is>
      </c>
      <c r="B200" s="1" t="n">
        <v>45683.88302083333</v>
      </c>
      <c r="C200" s="1" t="n">
        <v>45918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12928-2025</t>
        </is>
      </c>
      <c r="B201" s="1" t="n">
        <v>45734</v>
      </c>
      <c r="C201" s="1" t="n">
        <v>45918</v>
      </c>
      <c r="D201" t="inlineStr">
        <is>
          <t>VÄRMLANDS LÄN</t>
        </is>
      </c>
      <c r="E201" t="inlineStr">
        <is>
          <t>KIL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54177-2023</t>
        </is>
      </c>
      <c r="B202" s="1" t="n">
        <v>45232</v>
      </c>
      <c r="C202" s="1" t="n">
        <v>45918</v>
      </c>
      <c r="D202" t="inlineStr">
        <is>
          <t>VÄRMLANDS LÄN</t>
        </is>
      </c>
      <c r="E202" t="inlineStr">
        <is>
          <t>KIL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52438-2022</t>
        </is>
      </c>
      <c r="B203" s="1" t="n">
        <v>44874.4543287037</v>
      </c>
      <c r="C203" s="1" t="n">
        <v>45918</v>
      </c>
      <c r="D203" t="inlineStr">
        <is>
          <t>VÄRMLANDS LÄN</t>
        </is>
      </c>
      <c r="E203" t="inlineStr">
        <is>
          <t>KIL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20357-2021</t>
        </is>
      </c>
      <c r="B204" s="1" t="n">
        <v>44315</v>
      </c>
      <c r="C204" s="1" t="n">
        <v>45918</v>
      </c>
      <c r="D204" t="inlineStr">
        <is>
          <t>VÄRMLANDS LÄN</t>
        </is>
      </c>
      <c r="E204" t="inlineStr">
        <is>
          <t>KIL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50252-2024</t>
        </is>
      </c>
      <c r="B205" s="1" t="n">
        <v>45600.57181712963</v>
      </c>
      <c r="C205" s="1" t="n">
        <v>45918</v>
      </c>
      <c r="D205" t="inlineStr">
        <is>
          <t>VÄRMLANDS LÄN</t>
        </is>
      </c>
      <c r="E205" t="inlineStr">
        <is>
          <t>KIL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17197-2024</t>
        </is>
      </c>
      <c r="B206" s="1" t="n">
        <v>45413</v>
      </c>
      <c r="C206" s="1" t="n">
        <v>45918</v>
      </c>
      <c r="D206" t="inlineStr">
        <is>
          <t>VÄRMLANDS LÄN</t>
        </is>
      </c>
      <c r="E206" t="inlineStr">
        <is>
          <t>KIL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46220-2021</t>
        </is>
      </c>
      <c r="B207" s="1" t="n">
        <v>44442.50498842593</v>
      </c>
      <c r="C207" s="1" t="n">
        <v>45918</v>
      </c>
      <c r="D207" t="inlineStr">
        <is>
          <t>VÄRMLANDS LÄN</t>
        </is>
      </c>
      <c r="E207" t="inlineStr">
        <is>
          <t>KIL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18117-2025</t>
        </is>
      </c>
      <c r="B208" s="1" t="n">
        <v>45761</v>
      </c>
      <c r="C208" s="1" t="n">
        <v>45918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39039-2024</t>
        </is>
      </c>
      <c r="B209" s="1" t="n">
        <v>45548</v>
      </c>
      <c r="C209" s="1" t="n">
        <v>45918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3996-2022</t>
        </is>
      </c>
      <c r="B210" s="1" t="n">
        <v>44587</v>
      </c>
      <c r="C210" s="1" t="n">
        <v>45918</v>
      </c>
      <c r="D210" t="inlineStr">
        <is>
          <t>VÄRMLANDS LÄN</t>
        </is>
      </c>
      <c r="E210" t="inlineStr">
        <is>
          <t>KIL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64140-2023</t>
        </is>
      </c>
      <c r="B211" s="1" t="n">
        <v>45279.5659375</v>
      </c>
      <c r="C211" s="1" t="n">
        <v>45918</v>
      </c>
      <c r="D211" t="inlineStr">
        <is>
          <t>VÄRMLANDS LÄN</t>
        </is>
      </c>
      <c r="E211" t="inlineStr">
        <is>
          <t>KIL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62669-2023</t>
        </is>
      </c>
      <c r="B212" s="1" t="n">
        <v>45271.46321759259</v>
      </c>
      <c r="C212" s="1" t="n">
        <v>45918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10476-2025</t>
        </is>
      </c>
      <c r="B213" s="1" t="n">
        <v>45720</v>
      </c>
      <c r="C213" s="1" t="n">
        <v>45918</v>
      </c>
      <c r="D213" t="inlineStr">
        <is>
          <t>VÄRMLANDS LÄN</t>
        </is>
      </c>
      <c r="E213" t="inlineStr">
        <is>
          <t>KIL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44060-2023</t>
        </is>
      </c>
      <c r="B214" s="1" t="n">
        <v>45188.39651620371</v>
      </c>
      <c r="C214" s="1" t="n">
        <v>45918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2309-2024</t>
        </is>
      </c>
      <c r="B215" s="1" t="n">
        <v>45310</v>
      </c>
      <c r="C215" s="1" t="n">
        <v>45918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44677-2024</t>
        </is>
      </c>
      <c r="B216" s="1" t="n">
        <v>45574.54210648148</v>
      </c>
      <c r="C216" s="1" t="n">
        <v>45918</v>
      </c>
      <c r="D216" t="inlineStr">
        <is>
          <t>VÄRMLANDS LÄN</t>
        </is>
      </c>
      <c r="E216" t="inlineStr">
        <is>
          <t>KIL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12349-2025</t>
        </is>
      </c>
      <c r="B217" s="1" t="n">
        <v>45730</v>
      </c>
      <c r="C217" s="1" t="n">
        <v>45918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8541-2025</t>
        </is>
      </c>
      <c r="B218" s="1" t="n">
        <v>45709.605</v>
      </c>
      <c r="C218" s="1" t="n">
        <v>45918</v>
      </c>
      <c r="D218" t="inlineStr">
        <is>
          <t>VÄRMLANDS LÄN</t>
        </is>
      </c>
      <c r="E218" t="inlineStr">
        <is>
          <t>KIL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55306-2024</t>
        </is>
      </c>
      <c r="B219" s="1" t="n">
        <v>45621</v>
      </c>
      <c r="C219" s="1" t="n">
        <v>45918</v>
      </c>
      <c r="D219" t="inlineStr">
        <is>
          <t>VÄRMLANDS LÄN</t>
        </is>
      </c>
      <c r="E219" t="inlineStr">
        <is>
          <t>KIL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7822-2024</t>
        </is>
      </c>
      <c r="B220" s="1" t="n">
        <v>45349.71133101852</v>
      </c>
      <c r="C220" s="1" t="n">
        <v>45918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44657.619375</v>
      </c>
      <c r="C221" s="1" t="n">
        <v>45918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37620-2024</t>
        </is>
      </c>
      <c r="B222" s="1" t="n">
        <v>45541</v>
      </c>
      <c r="C222" s="1" t="n">
        <v>45918</v>
      </c>
      <c r="D222" t="inlineStr">
        <is>
          <t>VÄRMLANDS LÄN</t>
        </is>
      </c>
      <c r="E222" t="inlineStr">
        <is>
          <t>KIL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37622-2024</t>
        </is>
      </c>
      <c r="B223" s="1" t="n">
        <v>45541</v>
      </c>
      <c r="C223" s="1" t="n">
        <v>45918</v>
      </c>
      <c r="D223" t="inlineStr">
        <is>
          <t>VÄRMLANDS LÄN</t>
        </is>
      </c>
      <c r="E223" t="inlineStr">
        <is>
          <t>KIL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45599-2023</t>
        </is>
      </c>
      <c r="B224" s="1" t="n">
        <v>45194.64255787037</v>
      </c>
      <c r="C224" s="1" t="n">
        <v>45918</v>
      </c>
      <c r="D224" t="inlineStr">
        <is>
          <t>VÄRMLANDS LÄN</t>
        </is>
      </c>
      <c r="E224" t="inlineStr">
        <is>
          <t>KIL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15472-2025</t>
        </is>
      </c>
      <c r="B225" s="1" t="n">
        <v>45747</v>
      </c>
      <c r="C225" s="1" t="n">
        <v>45918</v>
      </c>
      <c r="D225" t="inlineStr">
        <is>
          <t>VÄRMLANDS LÄN</t>
        </is>
      </c>
      <c r="E225" t="inlineStr">
        <is>
          <t>KIL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15474-2025</t>
        </is>
      </c>
      <c r="B226" s="1" t="n">
        <v>45747</v>
      </c>
      <c r="C226" s="1" t="n">
        <v>45918</v>
      </c>
      <c r="D226" t="inlineStr">
        <is>
          <t>VÄRMLANDS LÄN</t>
        </is>
      </c>
      <c r="E226" t="inlineStr">
        <is>
          <t>KIL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24247-2025</t>
        </is>
      </c>
      <c r="B227" s="1" t="n">
        <v>45797.39939814815</v>
      </c>
      <c r="C227" s="1" t="n">
        <v>45918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65007-2023</t>
        </is>
      </c>
      <c r="B228" s="1" t="n">
        <v>45287</v>
      </c>
      <c r="C228" s="1" t="n">
        <v>45918</v>
      </c>
      <c r="D228" t="inlineStr">
        <is>
          <t>VÄRMLANDS LÄN</t>
        </is>
      </c>
      <c r="E228" t="inlineStr">
        <is>
          <t>KIL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48742-2021</t>
        </is>
      </c>
      <c r="B229" s="1" t="n">
        <v>44452.61798611111</v>
      </c>
      <c r="C229" s="1" t="n">
        <v>45918</v>
      </c>
      <c r="D229" t="inlineStr">
        <is>
          <t>VÄRMLANDS LÄN</t>
        </is>
      </c>
      <c r="E229" t="inlineStr">
        <is>
          <t>KIL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24262-2025</t>
        </is>
      </c>
      <c r="B230" s="1" t="n">
        <v>45797.42086805555</v>
      </c>
      <c r="C230" s="1" t="n">
        <v>45918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53416-2023</t>
        </is>
      </c>
      <c r="B231" s="1" t="n">
        <v>45229</v>
      </c>
      <c r="C231" s="1" t="n">
        <v>45918</v>
      </c>
      <c r="D231" t="inlineStr">
        <is>
          <t>VÄRMLANDS LÄN</t>
        </is>
      </c>
      <c r="E231" t="inlineStr">
        <is>
          <t>KIL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11558-2025</t>
        </is>
      </c>
      <c r="B232" s="1" t="n">
        <v>45727.35804398148</v>
      </c>
      <c r="C232" s="1" t="n">
        <v>45918</v>
      </c>
      <c r="D232" t="inlineStr">
        <is>
          <t>VÄRMLANDS LÄN</t>
        </is>
      </c>
      <c r="E232" t="inlineStr">
        <is>
          <t>KIL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24494-2025</t>
        </is>
      </c>
      <c r="B233" s="1" t="n">
        <v>45798</v>
      </c>
      <c r="C233" s="1" t="n">
        <v>45918</v>
      </c>
      <c r="D233" t="inlineStr">
        <is>
          <t>VÄRMLANDS LÄN</t>
        </is>
      </c>
      <c r="E233" t="inlineStr">
        <is>
          <t>KIL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29698-2024</t>
        </is>
      </c>
      <c r="B234" s="1" t="n">
        <v>45484</v>
      </c>
      <c r="C234" s="1" t="n">
        <v>45918</v>
      </c>
      <c r="D234" t="inlineStr">
        <is>
          <t>VÄRMLANDS LÄN</t>
        </is>
      </c>
      <c r="E234" t="inlineStr">
        <is>
          <t>KIL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23786-2022</t>
        </is>
      </c>
      <c r="B235" s="1" t="n">
        <v>44722</v>
      </c>
      <c r="C235" s="1" t="n">
        <v>45918</v>
      </c>
      <c r="D235" t="inlineStr">
        <is>
          <t>VÄRMLANDS LÄN</t>
        </is>
      </c>
      <c r="E235" t="inlineStr">
        <is>
          <t>KIL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18049-2024</t>
        </is>
      </c>
      <c r="B236" s="1" t="n">
        <v>45420.38435185186</v>
      </c>
      <c r="C236" s="1" t="n">
        <v>45918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26438-2025</t>
        </is>
      </c>
      <c r="B237" s="1" t="n">
        <v>45807</v>
      </c>
      <c r="C237" s="1" t="n">
        <v>45918</v>
      </c>
      <c r="D237" t="inlineStr">
        <is>
          <t>VÄRMLANDS LÄN</t>
        </is>
      </c>
      <c r="E237" t="inlineStr">
        <is>
          <t>KIL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42522-2021</t>
        </is>
      </c>
      <c r="B238" s="1" t="n">
        <v>44427</v>
      </c>
      <c r="C238" s="1" t="n">
        <v>45918</v>
      </c>
      <c r="D238" t="inlineStr">
        <is>
          <t>VÄRMLANDS LÄN</t>
        </is>
      </c>
      <c r="E238" t="inlineStr">
        <is>
          <t>KIL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35453-2024</t>
        </is>
      </c>
      <c r="B239" s="1" t="n">
        <v>45531.45243055555</v>
      </c>
      <c r="C239" s="1" t="n">
        <v>45918</v>
      </c>
      <c r="D239" t="inlineStr">
        <is>
          <t>VÄRMLANDS LÄN</t>
        </is>
      </c>
      <c r="E239" t="inlineStr">
        <is>
          <t>KIL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36795-2024</t>
        </is>
      </c>
      <c r="B240" s="1" t="n">
        <v>45538</v>
      </c>
      <c r="C240" s="1" t="n">
        <v>45918</v>
      </c>
      <c r="D240" t="inlineStr">
        <is>
          <t>VÄRMLANDS LÄN</t>
        </is>
      </c>
      <c r="E240" t="inlineStr">
        <is>
          <t>KIL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45591-2023</t>
        </is>
      </c>
      <c r="B241" s="1" t="n">
        <v>45194</v>
      </c>
      <c r="C241" s="1" t="n">
        <v>45918</v>
      </c>
      <c r="D241" t="inlineStr">
        <is>
          <t>VÄRMLANDS LÄN</t>
        </is>
      </c>
      <c r="E241" t="inlineStr">
        <is>
          <t>KIL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26910-2025</t>
        </is>
      </c>
      <c r="B242" s="1" t="n">
        <v>45811.35489583333</v>
      </c>
      <c r="C242" s="1" t="n">
        <v>45918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26978-2025</t>
        </is>
      </c>
      <c r="B243" s="1" t="n">
        <v>45811.48915509259</v>
      </c>
      <c r="C243" s="1" t="n">
        <v>45918</v>
      </c>
      <c r="D243" t="inlineStr">
        <is>
          <t>VÄRMLANDS LÄN</t>
        </is>
      </c>
      <c r="E243" t="inlineStr">
        <is>
          <t>KIL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22566-2025</t>
        </is>
      </c>
      <c r="B244" s="1" t="n">
        <v>45789</v>
      </c>
      <c r="C244" s="1" t="n">
        <v>45918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41074-2022</t>
        </is>
      </c>
      <c r="B245" s="1" t="n">
        <v>44825.60538194444</v>
      </c>
      <c r="C245" s="1" t="n">
        <v>45918</v>
      </c>
      <c r="D245" t="inlineStr">
        <is>
          <t>VÄRMLANDS LÄN</t>
        </is>
      </c>
      <c r="E245" t="inlineStr">
        <is>
          <t>KIL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26967-2025</t>
        </is>
      </c>
      <c r="B246" s="1" t="n">
        <v>45811.47222222222</v>
      </c>
      <c r="C246" s="1" t="n">
        <v>45918</v>
      </c>
      <c r="D246" t="inlineStr">
        <is>
          <t>VÄRMLANDS LÄN</t>
        </is>
      </c>
      <c r="E246" t="inlineStr">
        <is>
          <t>KIL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26968-2025</t>
        </is>
      </c>
      <c r="B247" s="1" t="n">
        <v>45811.47616898148</v>
      </c>
      <c r="C247" s="1" t="n">
        <v>45918</v>
      </c>
      <c r="D247" t="inlineStr">
        <is>
          <t>VÄRMLANDS LÄN</t>
        </is>
      </c>
      <c r="E247" t="inlineStr">
        <is>
          <t>KIL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30951-2022</t>
        </is>
      </c>
      <c r="B248" s="1" t="n">
        <v>44768</v>
      </c>
      <c r="C248" s="1" t="n">
        <v>45918</v>
      </c>
      <c r="D248" t="inlineStr">
        <is>
          <t>VÄRMLANDS LÄN</t>
        </is>
      </c>
      <c r="E248" t="inlineStr">
        <is>
          <t>KIL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27380-2025</t>
        </is>
      </c>
      <c r="B249" s="1" t="n">
        <v>45812</v>
      </c>
      <c r="C249" s="1" t="n">
        <v>45918</v>
      </c>
      <c r="D249" t="inlineStr">
        <is>
          <t>VÄRMLANDS LÄN</t>
        </is>
      </c>
      <c r="E249" t="inlineStr">
        <is>
          <t>KIL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666-2023</t>
        </is>
      </c>
      <c r="B250" s="1" t="n">
        <v>44930</v>
      </c>
      <c r="C250" s="1" t="n">
        <v>45918</v>
      </c>
      <c r="D250" t="inlineStr">
        <is>
          <t>VÄRMLANDS LÄN</t>
        </is>
      </c>
      <c r="E250" t="inlineStr">
        <is>
          <t>KIL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59012-2024</t>
        </is>
      </c>
      <c r="B251" s="1" t="n">
        <v>45636</v>
      </c>
      <c r="C251" s="1" t="n">
        <v>45918</v>
      </c>
      <c r="D251" t="inlineStr">
        <is>
          <t>VÄRMLANDS LÄN</t>
        </is>
      </c>
      <c r="E251" t="inlineStr">
        <is>
          <t>KIL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26263-2023</t>
        </is>
      </c>
      <c r="B252" s="1" t="n">
        <v>45091.60797453704</v>
      </c>
      <c r="C252" s="1" t="n">
        <v>45918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27359-2025</t>
        </is>
      </c>
      <c r="B253" s="1" t="n">
        <v>45812.63760416667</v>
      </c>
      <c r="C253" s="1" t="n">
        <v>45918</v>
      </c>
      <c r="D253" t="inlineStr">
        <is>
          <t>VÄRMLANDS LÄN</t>
        </is>
      </c>
      <c r="E253" t="inlineStr">
        <is>
          <t>KIL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58033-2023</t>
        </is>
      </c>
      <c r="B254" s="1" t="n">
        <v>45247</v>
      </c>
      <c r="C254" s="1" t="n">
        <v>45918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54497-2024</t>
        </is>
      </c>
      <c r="B255" s="1" t="n">
        <v>45617</v>
      </c>
      <c r="C255" s="1" t="n">
        <v>45918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45672-2024</t>
        </is>
      </c>
      <c r="B256" s="1" t="n">
        <v>45579</v>
      </c>
      <c r="C256" s="1" t="n">
        <v>45918</v>
      </c>
      <c r="D256" t="inlineStr">
        <is>
          <t>VÄRMLANDS LÄN</t>
        </is>
      </c>
      <c r="E256" t="inlineStr">
        <is>
          <t>KIL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2077-2024</t>
        </is>
      </c>
      <c r="B257" s="1" t="n">
        <v>45309</v>
      </c>
      <c r="C257" s="1" t="n">
        <v>45918</v>
      </c>
      <c r="D257" t="inlineStr">
        <is>
          <t>VÄRMLANDS LÄN</t>
        </is>
      </c>
      <c r="E257" t="inlineStr">
        <is>
          <t>KIL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8534-2025</t>
        </is>
      </c>
      <c r="B258" s="1" t="n">
        <v>45709</v>
      </c>
      <c r="C258" s="1" t="n">
        <v>45918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8555-2025</t>
        </is>
      </c>
      <c r="B259" s="1" t="n">
        <v>45709</v>
      </c>
      <c r="C259" s="1" t="n">
        <v>45918</v>
      </c>
      <c r="D259" t="inlineStr">
        <is>
          <t>VÄRMLANDS LÄN</t>
        </is>
      </c>
      <c r="E259" t="inlineStr">
        <is>
          <t>KIL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53498-2023</t>
        </is>
      </c>
      <c r="B260" s="1" t="n">
        <v>45230</v>
      </c>
      <c r="C260" s="1" t="n">
        <v>45918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8910-2025</t>
        </is>
      </c>
      <c r="B261" s="1" t="n">
        <v>45713</v>
      </c>
      <c r="C261" s="1" t="n">
        <v>45918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8916-2025</t>
        </is>
      </c>
      <c r="B262" s="1" t="n">
        <v>45713</v>
      </c>
      <c r="C262" s="1" t="n">
        <v>45918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62807-2023</t>
        </is>
      </c>
      <c r="B263" s="1" t="n">
        <v>45271.87197916667</v>
      </c>
      <c r="C263" s="1" t="n">
        <v>45918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30599-2023</t>
        </is>
      </c>
      <c r="B264" s="1" t="n">
        <v>45112</v>
      </c>
      <c r="C264" s="1" t="n">
        <v>45918</v>
      </c>
      <c r="D264" t="inlineStr">
        <is>
          <t>VÄRMLANDS LÄN</t>
        </is>
      </c>
      <c r="E264" t="inlineStr">
        <is>
          <t>KIL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33566-2024</t>
        </is>
      </c>
      <c r="B265" s="1" t="n">
        <v>45520</v>
      </c>
      <c r="C265" s="1" t="n">
        <v>45918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57151-2023</t>
        </is>
      </c>
      <c r="B266" s="1" t="n">
        <v>45245</v>
      </c>
      <c r="C266" s="1" t="n">
        <v>45918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1320-2023</t>
        </is>
      </c>
      <c r="B267" s="1" t="n">
        <v>44936</v>
      </c>
      <c r="C267" s="1" t="n">
        <v>45918</v>
      </c>
      <c r="D267" t="inlineStr">
        <is>
          <t>VÄRMLANDS LÄN</t>
        </is>
      </c>
      <c r="E267" t="inlineStr">
        <is>
          <t>KIL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23794-2023</t>
        </is>
      </c>
      <c r="B268" s="1" t="n">
        <v>45078</v>
      </c>
      <c r="C268" s="1" t="n">
        <v>45918</v>
      </c>
      <c r="D268" t="inlineStr">
        <is>
          <t>VÄRMLANDS LÄN</t>
        </is>
      </c>
      <c r="E268" t="inlineStr">
        <is>
          <t>KIL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37169-2021</t>
        </is>
      </c>
      <c r="B269" s="1" t="n">
        <v>44395</v>
      </c>
      <c r="C269" s="1" t="n">
        <v>45918</v>
      </c>
      <c r="D269" t="inlineStr">
        <is>
          <t>VÄRMLANDS LÄN</t>
        </is>
      </c>
      <c r="E269" t="inlineStr">
        <is>
          <t>KIL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29914-2025</t>
        </is>
      </c>
      <c r="B270" s="1" t="n">
        <v>45826.41162037037</v>
      </c>
      <c r="C270" s="1" t="n">
        <v>45918</v>
      </c>
      <c r="D270" t="inlineStr">
        <is>
          <t>VÄRMLANDS LÄN</t>
        </is>
      </c>
      <c r="E270" t="inlineStr">
        <is>
          <t>KIL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5328-2021</t>
        </is>
      </c>
      <c r="B271" s="1" t="n">
        <v>44229.54461805556</v>
      </c>
      <c r="C271" s="1" t="n">
        <v>45918</v>
      </c>
      <c r="D271" t="inlineStr">
        <is>
          <t>VÄRMLANDS LÄN</t>
        </is>
      </c>
      <c r="E271" t="inlineStr">
        <is>
          <t>KIL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30260-2025</t>
        </is>
      </c>
      <c r="B272" s="1" t="n">
        <v>45827</v>
      </c>
      <c r="C272" s="1" t="n">
        <v>45918</v>
      </c>
      <c r="D272" t="inlineStr">
        <is>
          <t>VÄRMLANDS LÄN</t>
        </is>
      </c>
      <c r="E272" t="inlineStr">
        <is>
          <t>KIL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30584-2025</t>
        </is>
      </c>
      <c r="B273" s="1" t="n">
        <v>45831</v>
      </c>
      <c r="C273" s="1" t="n">
        <v>45918</v>
      </c>
      <c r="D273" t="inlineStr">
        <is>
          <t>VÄRMLANDS LÄN</t>
        </is>
      </c>
      <c r="E273" t="inlineStr">
        <is>
          <t>KIL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3826-2025</t>
        </is>
      </c>
      <c r="B274" s="1" t="n">
        <v>45681.75200231482</v>
      </c>
      <c r="C274" s="1" t="n">
        <v>45918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969-2022</t>
        </is>
      </c>
      <c r="B275" s="1" t="n">
        <v>44571.57540509259</v>
      </c>
      <c r="C275" s="1" t="n">
        <v>45918</v>
      </c>
      <c r="D275" t="inlineStr">
        <is>
          <t>VÄRMLANDS LÄN</t>
        </is>
      </c>
      <c r="E275" t="inlineStr">
        <is>
          <t>KIL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44907.48916666667</v>
      </c>
      <c r="C276" s="1" t="n">
        <v>45918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2708-2023</t>
        </is>
      </c>
      <c r="B277" s="1" t="n">
        <v>44942</v>
      </c>
      <c r="C277" s="1" t="n">
        <v>45918</v>
      </c>
      <c r="D277" t="inlineStr">
        <is>
          <t>VÄRMLANDS LÄN</t>
        </is>
      </c>
      <c r="E277" t="inlineStr">
        <is>
          <t>KIL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54373-2020</t>
        </is>
      </c>
      <c r="B278" s="1" t="n">
        <v>44126.50736111111</v>
      </c>
      <c r="C278" s="1" t="n">
        <v>45918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59200-2023</t>
        </is>
      </c>
      <c r="B279" s="1" t="n">
        <v>45253</v>
      </c>
      <c r="C279" s="1" t="n">
        <v>45918</v>
      </c>
      <c r="D279" t="inlineStr">
        <is>
          <t>VÄRMLANDS LÄN</t>
        </is>
      </c>
      <c r="E279" t="inlineStr">
        <is>
          <t>KIL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10634-2024</t>
        </is>
      </c>
      <c r="B280" s="1" t="n">
        <v>45367.43570601852</v>
      </c>
      <c r="C280" s="1" t="n">
        <v>45918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34402-2022</t>
        </is>
      </c>
      <c r="B281" s="1" t="n">
        <v>44792.52918981481</v>
      </c>
      <c r="C281" s="1" t="n">
        <v>45918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18336-2023</t>
        </is>
      </c>
      <c r="B282" s="1" t="n">
        <v>45041</v>
      </c>
      <c r="C282" s="1" t="n">
        <v>45918</v>
      </c>
      <c r="D282" t="inlineStr">
        <is>
          <t>VÄRMLANDS LÄN</t>
        </is>
      </c>
      <c r="E282" t="inlineStr">
        <is>
          <t>KIL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31559-2025</t>
        </is>
      </c>
      <c r="B283" s="1" t="n">
        <v>45833.65369212963</v>
      </c>
      <c r="C283" s="1" t="n">
        <v>45918</v>
      </c>
      <c r="D283" t="inlineStr">
        <is>
          <t>VÄRMLANDS LÄN</t>
        </is>
      </c>
      <c r="E283" t="inlineStr">
        <is>
          <t>KIL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2990-2022</t>
        </is>
      </c>
      <c r="B284" s="1" t="n">
        <v>44581.85012731481</v>
      </c>
      <c r="C284" s="1" t="n">
        <v>45918</v>
      </c>
      <c r="D284" t="inlineStr">
        <is>
          <t>VÄRMLANDS LÄN</t>
        </is>
      </c>
      <c r="E284" t="inlineStr">
        <is>
          <t>KIL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2994-2022</t>
        </is>
      </c>
      <c r="B285" s="1" t="n">
        <v>44581.86648148148</v>
      </c>
      <c r="C285" s="1" t="n">
        <v>45918</v>
      </c>
      <c r="D285" t="inlineStr">
        <is>
          <t>VÄRMLANDS LÄN</t>
        </is>
      </c>
      <c r="E285" t="inlineStr">
        <is>
          <t>KIL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5753-2025</t>
        </is>
      </c>
      <c r="B286" s="1" t="n">
        <v>45694</v>
      </c>
      <c r="C286" s="1" t="n">
        <v>45918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64374-2023</t>
        </is>
      </c>
      <c r="B287" s="1" t="n">
        <v>45280.55791666666</v>
      </c>
      <c r="C287" s="1" t="n">
        <v>45918</v>
      </c>
      <c r="D287" t="inlineStr">
        <is>
          <t>VÄRMLANDS LÄN</t>
        </is>
      </c>
      <c r="E287" t="inlineStr">
        <is>
          <t>KIL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72073-2021</t>
        </is>
      </c>
      <c r="B288" s="1" t="n">
        <v>44544.50324074074</v>
      </c>
      <c r="C288" s="1" t="n">
        <v>45918</v>
      </c>
      <c r="D288" t="inlineStr">
        <is>
          <t>VÄRMLANDS LÄN</t>
        </is>
      </c>
      <c r="E288" t="inlineStr">
        <is>
          <t>KIL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37360-2025</t>
        </is>
      </c>
      <c r="B289" s="1" t="n">
        <v>45877</v>
      </c>
      <c r="C289" s="1" t="n">
        <v>45918</v>
      </c>
      <c r="D289" t="inlineStr">
        <is>
          <t>VÄRMLANDS LÄN</t>
        </is>
      </c>
      <c r="E289" t="inlineStr">
        <is>
          <t>KIL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24568-2024</t>
        </is>
      </c>
      <c r="B290" s="1" t="n">
        <v>45460.44770833333</v>
      </c>
      <c r="C290" s="1" t="n">
        <v>45918</v>
      </c>
      <c r="D290" t="inlineStr">
        <is>
          <t>VÄRMLANDS LÄN</t>
        </is>
      </c>
      <c r="E290" t="inlineStr">
        <is>
          <t>KIL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11330-2024</t>
        </is>
      </c>
      <c r="B291" s="1" t="n">
        <v>45371</v>
      </c>
      <c r="C291" s="1" t="n">
        <v>45918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16596-2023</t>
        </is>
      </c>
      <c r="B292" s="1" t="n">
        <v>45030</v>
      </c>
      <c r="C292" s="1" t="n">
        <v>45918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32982-2025</t>
        </is>
      </c>
      <c r="B293" s="1" t="n">
        <v>45839</v>
      </c>
      <c r="C293" s="1" t="n">
        <v>45918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1847-2025</t>
        </is>
      </c>
      <c r="B294" s="1" t="n">
        <v>45671</v>
      </c>
      <c r="C294" s="1" t="n">
        <v>45918</v>
      </c>
      <c r="D294" t="inlineStr">
        <is>
          <t>VÄRMLANDS LÄN</t>
        </is>
      </c>
      <c r="E294" t="inlineStr">
        <is>
          <t>KIL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32410-2025</t>
        </is>
      </c>
      <c r="B295" s="1" t="n">
        <v>45838.33539351852</v>
      </c>
      <c r="C295" s="1" t="n">
        <v>45918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59944-2024</t>
        </is>
      </c>
      <c r="B296" s="1" t="n">
        <v>45642.33300925926</v>
      </c>
      <c r="C296" s="1" t="n">
        <v>45918</v>
      </c>
      <c r="D296" t="inlineStr">
        <is>
          <t>VÄRMLANDS LÄN</t>
        </is>
      </c>
      <c r="E296" t="inlineStr">
        <is>
          <t>KIL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17635-2022</t>
        </is>
      </c>
      <c r="B297" s="1" t="n">
        <v>44680</v>
      </c>
      <c r="C297" s="1" t="n">
        <v>45918</v>
      </c>
      <c r="D297" t="inlineStr">
        <is>
          <t>VÄRMLANDS LÄN</t>
        </is>
      </c>
      <c r="E297" t="inlineStr">
        <is>
          <t>KIL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5758-2025</t>
        </is>
      </c>
      <c r="B298" s="1" t="n">
        <v>45694</v>
      </c>
      <c r="C298" s="1" t="n">
        <v>45918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13098-2025</t>
        </is>
      </c>
      <c r="B299" s="1" t="n">
        <v>45734</v>
      </c>
      <c r="C299" s="1" t="n">
        <v>45918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25435-2024</t>
        </is>
      </c>
      <c r="B300" s="1" t="n">
        <v>45463</v>
      </c>
      <c r="C300" s="1" t="n">
        <v>45918</v>
      </c>
      <c r="D300" t="inlineStr">
        <is>
          <t>VÄRMLANDS LÄN</t>
        </is>
      </c>
      <c r="E300" t="inlineStr">
        <is>
          <t>KIL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22798-2024</t>
        </is>
      </c>
      <c r="B301" s="1" t="n">
        <v>45448</v>
      </c>
      <c r="C301" s="1" t="n">
        <v>45918</v>
      </c>
      <c r="D301" t="inlineStr">
        <is>
          <t>VÄRMLANDS LÄN</t>
        </is>
      </c>
      <c r="E301" t="inlineStr">
        <is>
          <t>KIL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54343-2020</t>
        </is>
      </c>
      <c r="B302" s="1" t="n">
        <v>44126</v>
      </c>
      <c r="C302" s="1" t="n">
        <v>45918</v>
      </c>
      <c r="D302" t="inlineStr">
        <is>
          <t>VÄRMLANDS LÄN</t>
        </is>
      </c>
      <c r="E302" t="inlineStr">
        <is>
          <t>KIL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40853-2024</t>
        </is>
      </c>
      <c r="B303" s="1" t="n">
        <v>45558</v>
      </c>
      <c r="C303" s="1" t="n">
        <v>45918</v>
      </c>
      <c r="D303" t="inlineStr">
        <is>
          <t>VÄRMLANDS LÄN</t>
        </is>
      </c>
      <c r="E303" t="inlineStr">
        <is>
          <t>KIL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1843-2025</t>
        </is>
      </c>
      <c r="B304" s="1" t="n">
        <v>45671.57612268518</v>
      </c>
      <c r="C304" s="1" t="n">
        <v>45918</v>
      </c>
      <c r="D304" t="inlineStr">
        <is>
          <t>VÄRMLANDS LÄN</t>
        </is>
      </c>
      <c r="E304" t="inlineStr">
        <is>
          <t>KIL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7368-2025</t>
        </is>
      </c>
      <c r="B305" s="1" t="n">
        <v>45704</v>
      </c>
      <c r="C305" s="1" t="n">
        <v>45918</v>
      </c>
      <c r="D305" t="inlineStr">
        <is>
          <t>VÄRMLANDS LÄN</t>
        </is>
      </c>
      <c r="E305" t="inlineStr">
        <is>
          <t>KIL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13094-2025</t>
        </is>
      </c>
      <c r="B306" s="1" t="n">
        <v>45734</v>
      </c>
      <c r="C306" s="1" t="n">
        <v>45918</v>
      </c>
      <c r="D306" t="inlineStr">
        <is>
          <t>VÄRMLANDS LÄN</t>
        </is>
      </c>
      <c r="E306" t="inlineStr">
        <is>
          <t>KIL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14143-2024</t>
        </is>
      </c>
      <c r="B307" s="1" t="n">
        <v>45392</v>
      </c>
      <c r="C307" s="1" t="n">
        <v>45918</v>
      </c>
      <c r="D307" t="inlineStr">
        <is>
          <t>VÄRMLANDS LÄN</t>
        </is>
      </c>
      <c r="E307" t="inlineStr">
        <is>
          <t>KIL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35083-2024</t>
        </is>
      </c>
      <c r="B308" s="1" t="n">
        <v>45527.68989583333</v>
      </c>
      <c r="C308" s="1" t="n">
        <v>45918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35084-2024</t>
        </is>
      </c>
      <c r="B309" s="1" t="n">
        <v>45527.69265046297</v>
      </c>
      <c r="C309" s="1" t="n">
        <v>45918</v>
      </c>
      <c r="D309" t="inlineStr">
        <is>
          <t>VÄRMLANDS LÄN</t>
        </is>
      </c>
      <c r="E309" t="inlineStr">
        <is>
          <t>KIL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18948-2024</t>
        </is>
      </c>
      <c r="B310" s="1" t="n">
        <v>45427.49891203704</v>
      </c>
      <c r="C310" s="1" t="n">
        <v>45918</v>
      </c>
      <c r="D310" t="inlineStr">
        <is>
          <t>VÄRMLANDS LÄN</t>
        </is>
      </c>
      <c r="E310" t="inlineStr">
        <is>
          <t>KIL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12252-2024</t>
        </is>
      </c>
      <c r="B311" s="1" t="n">
        <v>45378</v>
      </c>
      <c r="C311" s="1" t="n">
        <v>45918</v>
      </c>
      <c r="D311" t="inlineStr">
        <is>
          <t>VÄRMLANDS LÄN</t>
        </is>
      </c>
      <c r="E311" t="inlineStr">
        <is>
          <t>KIL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14732-2022</t>
        </is>
      </c>
      <c r="B312" s="1" t="n">
        <v>44655</v>
      </c>
      <c r="C312" s="1" t="n">
        <v>45918</v>
      </c>
      <c r="D312" t="inlineStr">
        <is>
          <t>VÄRMLANDS LÄN</t>
        </is>
      </c>
      <c r="E312" t="inlineStr">
        <is>
          <t>KIL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10635-2024</t>
        </is>
      </c>
      <c r="B313" s="1" t="n">
        <v>45367.44355324074</v>
      </c>
      <c r="C313" s="1" t="n">
        <v>45918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17473-2025</t>
        </is>
      </c>
      <c r="B314" s="1" t="n">
        <v>45757.47975694444</v>
      </c>
      <c r="C314" s="1" t="n">
        <v>45918</v>
      </c>
      <c r="D314" t="inlineStr">
        <is>
          <t>VÄRMLANDS LÄN</t>
        </is>
      </c>
      <c r="E314" t="inlineStr">
        <is>
          <t>KIL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33913-2025</t>
        </is>
      </c>
      <c r="B315" s="1" t="n">
        <v>45842</v>
      </c>
      <c r="C315" s="1" t="n">
        <v>45918</v>
      </c>
      <c r="D315" t="inlineStr">
        <is>
          <t>VÄRMLANDS LÄN</t>
        </is>
      </c>
      <c r="E315" t="inlineStr">
        <is>
          <t>KIL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8528-2025</t>
        </is>
      </c>
      <c r="B316" s="1" t="n">
        <v>45709</v>
      </c>
      <c r="C316" s="1" t="n">
        <v>45918</v>
      </c>
      <c r="D316" t="inlineStr">
        <is>
          <t>VÄRMLANDS LÄN</t>
        </is>
      </c>
      <c r="E316" t="inlineStr">
        <is>
          <t>KIL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33914-2025</t>
        </is>
      </c>
      <c r="B317" s="1" t="n">
        <v>45842</v>
      </c>
      <c r="C317" s="1" t="n">
        <v>45918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57967-2021</t>
        </is>
      </c>
      <c r="B318" s="1" t="n">
        <v>44487</v>
      </c>
      <c r="C318" s="1" t="n">
        <v>45918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9570-2021</t>
        </is>
      </c>
      <c r="B319" s="1" t="n">
        <v>44251</v>
      </c>
      <c r="C319" s="1" t="n">
        <v>45918</v>
      </c>
      <c r="D319" t="inlineStr">
        <is>
          <t>VÄRMLANDS LÄN</t>
        </is>
      </c>
      <c r="E319" t="inlineStr">
        <is>
          <t>KIL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46117-2022</t>
        </is>
      </c>
      <c r="B320" s="1" t="n">
        <v>44847</v>
      </c>
      <c r="C320" s="1" t="n">
        <v>45918</v>
      </c>
      <c r="D320" t="inlineStr">
        <is>
          <t>VÄRMLANDS LÄN</t>
        </is>
      </c>
      <c r="E320" t="inlineStr">
        <is>
          <t>KIL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35449-2024</t>
        </is>
      </c>
      <c r="B321" s="1" t="n">
        <v>45531</v>
      </c>
      <c r="C321" s="1" t="n">
        <v>45918</v>
      </c>
      <c r="D321" t="inlineStr">
        <is>
          <t>VÄRMLANDS LÄN</t>
        </is>
      </c>
      <c r="E321" t="inlineStr">
        <is>
          <t>KIL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40731-2025</t>
        </is>
      </c>
      <c r="B322" s="1" t="n">
        <v>45897</v>
      </c>
      <c r="C322" s="1" t="n">
        <v>45918</v>
      </c>
      <c r="D322" t="inlineStr">
        <is>
          <t>VÄRMLANDS LÄN</t>
        </is>
      </c>
      <c r="E322" t="inlineStr">
        <is>
          <t>KIL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40742-2025</t>
        </is>
      </c>
      <c r="B323" s="1" t="n">
        <v>45897</v>
      </c>
      <c r="C323" s="1" t="n">
        <v>45918</v>
      </c>
      <c r="D323" t="inlineStr">
        <is>
          <t>VÄRMLANDS LÄN</t>
        </is>
      </c>
      <c r="E323" t="inlineStr">
        <is>
          <t>KIL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41631-2025</t>
        </is>
      </c>
      <c r="B324" s="1" t="n">
        <v>45901</v>
      </c>
      <c r="C324" s="1" t="n">
        <v>45918</v>
      </c>
      <c r="D324" t="inlineStr">
        <is>
          <t>VÄRMLANDS LÄN</t>
        </is>
      </c>
      <c r="E324" t="inlineStr">
        <is>
          <t>KIL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37214-2025</t>
        </is>
      </c>
      <c r="B325" s="1" t="n">
        <v>45875</v>
      </c>
      <c r="C325" s="1" t="n">
        <v>45918</v>
      </c>
      <c r="D325" t="inlineStr">
        <is>
          <t>VÄRMLANDS LÄN</t>
        </is>
      </c>
      <c r="E325" t="inlineStr">
        <is>
          <t>KIL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43194-2025</t>
        </is>
      </c>
      <c r="B326" s="1" t="n">
        <v>45910</v>
      </c>
      <c r="C326" s="1" t="n">
        <v>45918</v>
      </c>
      <c r="D326" t="inlineStr">
        <is>
          <t>VÄRMLANDS LÄN</t>
        </is>
      </c>
      <c r="E326" t="inlineStr">
        <is>
          <t>KIL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43186-2025</t>
        </is>
      </c>
      <c r="B327" s="1" t="n">
        <v>45910</v>
      </c>
      <c r="C327" s="1" t="n">
        <v>45918</v>
      </c>
      <c r="D327" t="inlineStr">
        <is>
          <t>VÄRMLANDS LÄN</t>
        </is>
      </c>
      <c r="E327" t="inlineStr">
        <is>
          <t>KIL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2025-09-18T09:01:31Z</dcterms:created>
  <dcterms:modified xmlns:dcterms="http://purl.org/dc/terms/" xmlns:xsi="http://www.w3.org/2001/XMLSchema-instance" xsi:type="dcterms:W3CDTF">2025-09-18T09:01:31Z</dcterms:modified>
</cp:coreProperties>
</file>