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55444-2025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45971</v>
      </c>
      <c r="E2" s="1" t="n">
        <v>46323</v>
      </c>
      <c r="F2" t="inlineStr">
        <is>
          <t>VÄRMLANDS LÄN</t>
        </is>
      </c>
      <c r="G2" t="inlineStr">
        <is>
          <t>KIL</t>
        </is>
      </c>
      <c r="I2" t="n">
        <v>3.9</v>
      </c>
      <c r="J2" t="n">
        <v>1</v>
      </c>
      <c r="K2" t="n">
        <v>3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5</v>
      </c>
      <c r="T2" t="n">
        <v>5</v>
      </c>
      <c r="U2" t="n">
        <v>5</v>
      </c>
      <c r="V2" s="2" t="inlineStr">
        <is>
          <t>Ullticka
Rävticka
Vedticka
Vågbandad barkbock
Spillkråka</t>
        </is>
      </c>
      <c r="W2">
        <f>HYPERLINK("https://klasma.github.io/Logging_1715/artfynd/A 55444-2025 artfynd.xlsx", "A 55444-2025")</f>
        <v/>
      </c>
      <c r="X2">
        <f>HYPERLINK("https://klasma.github.io/Logging_1715/kartor/A 55444-2025 karta.png", "A 55444-2025")</f>
        <v/>
      </c>
      <c r="Y2">
        <f>HYPERLINK("https://klasma.github.io/Logging_1715/kartor_geotiff/A 55444-2025 georefererad karta.tif", "A 55444-2025")</f>
        <v/>
      </c>
      <c r="AA2">
        <f>HYPERLINK("https://klasma.github.io/Logging_1715/klagomål/A 55444-2025 FSC-klagomål.docx", "A 55444-2025")</f>
        <v/>
      </c>
      <c r="AB2">
        <f>HYPERLINK("https://klasma.github.io/Logging_1715/klagomålsmail/A 55444-2025 FSC-klagomål mail.docx", "A 55444-2025")</f>
        <v/>
      </c>
      <c r="AC2">
        <f>HYPERLINK("https://klasma.github.io/Logging_1715/tillsyn/A 55444-2025 tillsynsbegäran.docx", "A 55444-2025")</f>
        <v/>
      </c>
      <c r="AD2">
        <f>HYPERLINK("https://klasma.github.io/Logging_1715/tillsynsmail/A 55444-2025 tillsynsbegäran mail.docx", "A 55444-2025")</f>
        <v/>
      </c>
      <c r="AE2">
        <f>HYPERLINK("https://klasma.github.io/Logging_1715/fåglar/A 55444-2025 prioriterade fågelarter.docx", "A 55444-2025")</f>
        <v/>
      </c>
    </row>
    <row r="3" ht="15" customHeight="1">
      <c r="A3" t="inlineStr">
        <is>
          <t>S 4286-2023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45258</v>
      </c>
      <c r="E3" s="1" t="n">
        <v>46323</v>
      </c>
      <c r="F3" t="inlineStr">
        <is>
          <t>VÄRMLANDS LÄN</t>
        </is>
      </c>
      <c r="G3" t="inlineStr">
        <is>
          <t>KIL</t>
        </is>
      </c>
      <c r="H3" t="inlineStr">
        <is>
          <t>Bergvik skog väst AB</t>
        </is>
      </c>
      <c r="I3" t="n">
        <v>16.1</v>
      </c>
      <c r="J3" t="n">
        <v>3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5</v>
      </c>
      <c r="T3" t="n">
        <v>6</v>
      </c>
      <c r="U3" t="n">
        <v>0</v>
      </c>
      <c r="V3" s="2" t="inlineStr">
        <is>
          <t>Talltita
Ullticka
Grön sköldmossa
Vedticka
Blåsippa</t>
        </is>
      </c>
      <c r="W3">
        <f>HYPERLINK("https://klasma.github.io/Logging_1715/artfynd/S 4286-2023 artfynd.xlsx", "S 4286-2023")</f>
        <v/>
      </c>
      <c r="X3">
        <f>HYPERLINK("https://klasma.github.io/Logging_1715/kartor/S 4286-2023 karta.png", "S 4286-2023")</f>
        <v/>
      </c>
      <c r="Y3">
        <f>HYPERLINK("https://klasma.github.io/Logging_1715/kartor_geotiff/S 4286-2023 georefererad karta.tif", "S 4286-2023")</f>
        <v/>
      </c>
      <c r="AA3">
        <f>HYPERLINK("https://klasma.github.io/Logging_1715/klagomål/S 4286-2023 FSC-klagomål.docx", "S 4286-2023")</f>
        <v/>
      </c>
      <c r="AB3">
        <f>HYPERLINK("https://klasma.github.io/Logging_1715/klagomålsmail/S 4286-2023 FSC-klagomål mail.docx", "S 4286-2023")</f>
        <v/>
      </c>
      <c r="AC3">
        <f>HYPERLINK("https://klasma.github.io/Logging_1715/tillsyn/S 4286-2023 tillsynsbegäran.docx", "S 4286-2023")</f>
        <v/>
      </c>
      <c r="AD3">
        <f>HYPERLINK("https://klasma.github.io/Logging_1715/tillsynsmail/S 4286-2023 tillsynsbegäran mail.docx", "S 4286-2023")</f>
        <v/>
      </c>
      <c r="AE3">
        <f>HYPERLINK("https://klasma.github.io/Logging_1715/fåglar/S 4286-2023 prioriterade fågelarter.docx", "S 4286-2023")</f>
        <v/>
      </c>
    </row>
    <row r="4" ht="15" customHeight="1">
      <c r="A4" t="inlineStr">
        <is>
          <t>A 26849-2023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45093</v>
      </c>
      <c r="E4" s="1" t="n">
        <v>46323</v>
      </c>
      <c r="F4" t="inlineStr">
        <is>
          <t>VÄRMLANDS LÄN</t>
        </is>
      </c>
      <c r="G4" t="inlineStr">
        <is>
          <t>KIL</t>
        </is>
      </c>
      <c r="I4" t="n">
        <v>2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2</v>
      </c>
      <c r="T4" t="n">
        <v>2</v>
      </c>
      <c r="U4" t="n">
        <v>2</v>
      </c>
      <c r="V4" s="2" t="inlineStr">
        <is>
          <t>Gullklöver
Skogsklocka</t>
        </is>
      </c>
      <c r="W4">
        <f>HYPERLINK("https://klasma.github.io/Logging_1715/artfynd/A 26849-2023 artfynd.xlsx", "A 26849-2023")</f>
        <v/>
      </c>
      <c r="X4">
        <f>HYPERLINK("https://klasma.github.io/Logging_1715/kartor/A 26849-2023 karta.png", "A 26849-2023")</f>
        <v/>
      </c>
      <c r="Y4">
        <f>HYPERLINK("https://klasma.github.io/Logging_1715/kartor_geotiff/A 26849-2023 georefererad karta.tif", "A 26849-2023")</f>
        <v/>
      </c>
      <c r="AA4">
        <f>HYPERLINK("https://klasma.github.io/Logging_1715/klagomål/A 26849-2023 FSC-klagomål.docx", "A 26849-2023")</f>
        <v/>
      </c>
      <c r="AB4">
        <f>HYPERLINK("https://klasma.github.io/Logging_1715/klagomålsmail/A 26849-2023 FSC-klagomål mail.docx", "A 26849-2023")</f>
        <v/>
      </c>
      <c r="AC4">
        <f>HYPERLINK("https://klasma.github.io/Logging_1715/tillsyn/A 26849-2023 tillsynsbegäran.docx", "A 26849-2023")</f>
        <v/>
      </c>
      <c r="AD4">
        <f>HYPERLINK("https://klasma.github.io/Logging_1715/tillsynsmail/A 26849-2023 tillsynsbegäran mail.docx", "A 26849-2023")</f>
        <v/>
      </c>
    </row>
    <row r="5" ht="15" customHeight="1">
      <c r="A5" t="inlineStr">
        <is>
          <t>A 37408-2022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44809</v>
      </c>
      <c r="E5" s="1" t="n">
        <v>46323</v>
      </c>
      <c r="F5" t="inlineStr">
        <is>
          <t>VÄRMLANDS LÄN</t>
        </is>
      </c>
      <c r="G5" t="inlineStr">
        <is>
          <t>KIL</t>
        </is>
      </c>
      <c r="I5" t="n">
        <v>2.6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2</v>
      </c>
      <c r="T5" t="n">
        <v>2</v>
      </c>
      <c r="U5" t="n">
        <v>0</v>
      </c>
      <c r="V5" s="2" t="inlineStr">
        <is>
          <t>Dropptaggsvamp
Tjäder</t>
        </is>
      </c>
      <c r="W5">
        <f>HYPERLINK("https://klasma.github.io/Logging_1715/artfynd/A 37408-2022 artfynd.xlsx", "A 37408-2022")</f>
        <v/>
      </c>
      <c r="X5">
        <f>HYPERLINK("https://klasma.github.io/Logging_1715/kartor/A 37408-2022 karta.png", "A 37408-2022")</f>
        <v/>
      </c>
      <c r="Y5">
        <f>HYPERLINK("https://klasma.github.io/Logging_1715/kartor_geotiff/A 37408-2022 georefererad karta.tif", "A 37408-2022")</f>
        <v/>
      </c>
      <c r="AA5">
        <f>HYPERLINK("https://klasma.github.io/Logging_1715/klagomål/A 37408-2022 FSC-klagomål.docx", "A 37408-2022")</f>
        <v/>
      </c>
      <c r="AB5">
        <f>HYPERLINK("https://klasma.github.io/Logging_1715/klagomålsmail/A 37408-2022 FSC-klagomål mail.docx", "A 37408-2022")</f>
        <v/>
      </c>
      <c r="AC5">
        <f>HYPERLINK("https://klasma.github.io/Logging_1715/tillsyn/A 37408-2022 tillsynsbegäran.docx", "A 37408-2022")</f>
        <v/>
      </c>
      <c r="AD5">
        <f>HYPERLINK("https://klasma.github.io/Logging_1715/tillsynsmail/A 37408-2022 tillsynsbegäran mail.docx", "A 37408-2022")</f>
        <v/>
      </c>
      <c r="AE5">
        <f>HYPERLINK("https://klasma.github.io/Logging_1715/fåglar/A 37408-2022 prioriterade fågelarter.docx", "A 37408-2022")</f>
        <v/>
      </c>
    </row>
    <row r="6" ht="15" customHeight="1">
      <c r="A6" t="inlineStr">
        <is>
          <t>A 2997-2022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44581</v>
      </c>
      <c r="E6" s="1" t="n">
        <v>46323</v>
      </c>
      <c r="F6" t="inlineStr">
        <is>
          <t>VÄRMLANDS LÄN</t>
        </is>
      </c>
      <c r="G6" t="inlineStr">
        <is>
          <t>KIL</t>
        </is>
      </c>
      <c r="I6" t="n">
        <v>1.9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s="2" t="inlineStr">
        <is>
          <t>Mindre vattensalamander</t>
        </is>
      </c>
      <c r="W6">
        <f>HYPERLINK("https://klasma.github.io/Logging_1715/artfynd/A 2997-2022 artfynd.xlsx", "A 2997-2022")</f>
        <v/>
      </c>
      <c r="X6">
        <f>HYPERLINK("https://klasma.github.io/Logging_1715/kartor/A 2997-2022 karta.png", "A 2997-2022")</f>
        <v/>
      </c>
      <c r="Y6">
        <f>HYPERLINK("https://klasma.github.io/Logging_1715/kartor_geotiff/A 2997-2022 georefererad karta.tif", "A 2997-2022")</f>
        <v/>
      </c>
      <c r="AA6">
        <f>HYPERLINK("https://klasma.github.io/Logging_1715/klagomål/A 2997-2022 FSC-klagomål.docx", "A 2997-2022")</f>
        <v/>
      </c>
      <c r="AB6">
        <f>HYPERLINK("https://klasma.github.io/Logging_1715/klagomålsmail/A 2997-2022 FSC-klagomål mail.docx", "A 2997-2022")</f>
        <v/>
      </c>
      <c r="AC6">
        <f>HYPERLINK("https://klasma.github.io/Logging_1715/tillsyn/A 2997-2022 tillsynsbegäran.docx", "A 2997-2022")</f>
        <v/>
      </c>
      <c r="AD6">
        <f>HYPERLINK("https://klasma.github.io/Logging_1715/tillsynsmail/A 2997-2022 tillsynsbegäran mail.docx", "A 2997-2022")</f>
        <v/>
      </c>
    </row>
    <row r="7" ht="15" customHeight="1">
      <c r="A7" t="inlineStr">
        <is>
          <t>A 2998-2022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44581</v>
      </c>
      <c r="E7" s="1" t="n">
        <v>46323</v>
      </c>
      <c r="F7" t="inlineStr">
        <is>
          <t>VÄRMLANDS LÄN</t>
        </is>
      </c>
      <c r="G7" t="inlineStr">
        <is>
          <t>KIL</t>
        </is>
      </c>
      <c r="I7" t="n">
        <v>7.3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s="2" t="inlineStr">
        <is>
          <t>Mindre vattensalamander</t>
        </is>
      </c>
      <c r="W7">
        <f>HYPERLINK("https://klasma.github.io/Logging_1715/artfynd/A 2998-2022 artfynd.xlsx", "A 2998-2022")</f>
        <v/>
      </c>
      <c r="X7">
        <f>HYPERLINK("https://klasma.github.io/Logging_1715/kartor/A 2998-2022 karta.png", "A 2998-2022")</f>
        <v/>
      </c>
      <c r="Y7">
        <f>HYPERLINK("https://klasma.github.io/Logging_1715/kartor_geotiff/A 2998-2022 georefererad karta.tif", "A 2998-2022")</f>
        <v/>
      </c>
      <c r="AA7">
        <f>HYPERLINK("https://klasma.github.io/Logging_1715/klagomål/A 2998-2022 FSC-klagomål.docx", "A 2998-2022")</f>
        <v/>
      </c>
      <c r="AB7">
        <f>HYPERLINK("https://klasma.github.io/Logging_1715/klagomålsmail/A 2998-2022 FSC-klagomål mail.docx", "A 2998-2022")</f>
        <v/>
      </c>
      <c r="AC7">
        <f>HYPERLINK("https://klasma.github.io/Logging_1715/tillsyn/A 2998-2022 tillsynsbegäran.docx", "A 2998-2022")</f>
        <v/>
      </c>
      <c r="AD7">
        <f>HYPERLINK("https://klasma.github.io/Logging_1715/tillsynsmail/A 2998-2022 tillsynsbegäran mail.docx", "A 2998-2022")</f>
        <v/>
      </c>
    </row>
    <row r="8" ht="15" customHeight="1">
      <c r="A8" t="inlineStr">
        <is>
          <t>A 23794-2023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45078</v>
      </c>
      <c r="E8" s="1" t="n">
        <v>46323</v>
      </c>
      <c r="F8" t="inlineStr">
        <is>
          <t>VÄRMLANDS LÄN</t>
        </is>
      </c>
      <c r="G8" t="inlineStr">
        <is>
          <t>KIL</t>
        </is>
      </c>
      <c r="I8" t="n">
        <v>1.5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s="2" t="inlineStr">
        <is>
          <t>Fläcknycklar</t>
        </is>
      </c>
      <c r="W8">
        <f>HYPERLINK("https://klasma.github.io/Logging_1715/artfynd/A 23794-2023 artfynd.xlsx", "A 23794-2023")</f>
        <v/>
      </c>
      <c r="X8">
        <f>HYPERLINK("https://klasma.github.io/Logging_1715/kartor/A 23794-2023 karta.png", "A 23794-2023")</f>
        <v/>
      </c>
      <c r="Y8">
        <f>HYPERLINK("https://klasma.github.io/Logging_1715/kartor_geotiff/A 23794-2023 georefererad karta.tif", "A 23794-2023")</f>
        <v/>
      </c>
      <c r="AA8">
        <f>HYPERLINK("https://klasma.github.io/Logging_1715/klagomål/A 23794-2023 FSC-klagomål.docx", "A 23794-2023")</f>
        <v/>
      </c>
      <c r="AB8">
        <f>HYPERLINK("https://klasma.github.io/Logging_1715/klagomålsmail/A 23794-2023 FSC-klagomål mail.docx", "A 23794-2023")</f>
        <v/>
      </c>
      <c r="AC8">
        <f>HYPERLINK("https://klasma.github.io/Logging_1715/tillsyn/A 23794-2023 tillsynsbegäran.docx", "A 23794-2023")</f>
        <v/>
      </c>
      <c r="AD8">
        <f>HYPERLINK("https://klasma.github.io/Logging_1715/tillsynsmail/A 23794-2023 tillsynsbegäran mail.docx", "A 23794-2023")</f>
        <v/>
      </c>
    </row>
    <row r="9" ht="15" customHeight="1">
      <c r="A9" t="inlineStr">
        <is>
          <t>A 54177-2023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45232</v>
      </c>
      <c r="E9" s="1" t="n">
        <v>46323</v>
      </c>
      <c r="F9" t="inlineStr">
        <is>
          <t>VÄRMLANDS LÄN</t>
        </is>
      </c>
      <c r="G9" t="inlineStr">
        <is>
          <t>KIL</t>
        </is>
      </c>
      <c r="I9" t="n">
        <v>3.6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Strutbräken</t>
        </is>
      </c>
      <c r="W9">
        <f>HYPERLINK("https://klasma.github.io/Logging_1715/artfynd/A 54177-2023 artfynd.xlsx", "A 54177-2023")</f>
        <v/>
      </c>
      <c r="X9">
        <f>HYPERLINK("https://klasma.github.io/Logging_1715/kartor/A 54177-2023 karta.png", "A 54177-2023")</f>
        <v/>
      </c>
      <c r="Y9">
        <f>HYPERLINK("https://klasma.github.io/Logging_1715/kartor_geotiff/A 54177-2023 georefererad karta.tif", "A 54177-2023")</f>
        <v/>
      </c>
      <c r="AA9">
        <f>HYPERLINK("https://klasma.github.io/Logging_1715/klagomål/A 54177-2023 FSC-klagomål.docx", "A 54177-2023")</f>
        <v/>
      </c>
      <c r="AB9">
        <f>HYPERLINK("https://klasma.github.io/Logging_1715/klagomålsmail/A 54177-2023 FSC-klagomål mail.docx", "A 54177-2023")</f>
        <v/>
      </c>
      <c r="AC9">
        <f>HYPERLINK("https://klasma.github.io/Logging_1715/tillsyn/A 54177-2023 tillsynsbegäran.docx", "A 54177-2023")</f>
        <v/>
      </c>
      <c r="AD9">
        <f>HYPERLINK("https://klasma.github.io/Logging_1715/tillsynsmail/A 54177-2023 tillsynsbegäran mail.docx", "A 54177-2023")</f>
        <v/>
      </c>
    </row>
    <row r="10" ht="15" customHeight="1">
      <c r="A10" t="inlineStr">
        <is>
          <t>A 53498-2023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45230</v>
      </c>
      <c r="E10" s="1" t="n">
        <v>46323</v>
      </c>
      <c r="F10" t="inlineStr">
        <is>
          <t>VÄRMLANDS LÄN</t>
        </is>
      </c>
      <c r="G10" t="inlineStr">
        <is>
          <t>KIL</t>
        </is>
      </c>
      <c r="I10" t="n">
        <v>0.9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s="2" t="inlineStr">
        <is>
          <t>Brunfläckig pärlemorfjäril</t>
        </is>
      </c>
      <c r="W10">
        <f>HYPERLINK("https://klasma.github.io/Logging_1715/artfynd/A 53498-2023 artfynd.xlsx", "A 53498-2023")</f>
        <v/>
      </c>
      <c r="X10">
        <f>HYPERLINK("https://klasma.github.io/Logging_1715/kartor/A 53498-2023 karta.png", "A 53498-2023")</f>
        <v/>
      </c>
      <c r="Y10">
        <f>HYPERLINK("https://klasma.github.io/Logging_1715/kartor_geotiff/A 53498-2023 georefererad karta.tif", "A 53498-2023")</f>
        <v/>
      </c>
      <c r="AA10">
        <f>HYPERLINK("https://klasma.github.io/Logging_1715/klagomål/A 53498-2023 FSC-klagomål.docx", "A 53498-2023")</f>
        <v/>
      </c>
      <c r="AB10">
        <f>HYPERLINK("https://klasma.github.io/Logging_1715/klagomålsmail/A 53498-2023 FSC-klagomål mail.docx", "A 53498-2023")</f>
        <v/>
      </c>
      <c r="AC10">
        <f>HYPERLINK("https://klasma.github.io/Logging_1715/tillsyn/A 53498-2023 tillsynsbegäran.docx", "A 53498-2023")</f>
        <v/>
      </c>
      <c r="AD10">
        <f>HYPERLINK("https://klasma.github.io/Logging_1715/tillsynsmail/A 53498-2023 tillsynsbegäran mail.docx", "A 53498-2023")</f>
        <v/>
      </c>
    </row>
    <row r="11" ht="15" customHeight="1">
      <c r="A11" t="inlineStr">
        <is>
          <t>A 62010-2022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44914</v>
      </c>
      <c r="E11" s="1" t="n">
        <v>46323</v>
      </c>
      <c r="F11" t="inlineStr">
        <is>
          <t>VÄRMLANDS LÄN</t>
        </is>
      </c>
      <c r="G11" t="inlineStr">
        <is>
          <t>KIL</t>
        </is>
      </c>
      <c r="I11" t="n">
        <v>7.8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Ögonpyrola</t>
        </is>
      </c>
      <c r="W11">
        <f>HYPERLINK("https://klasma.github.io/Logging_1715/artfynd/A 62010-2022 artfynd.xlsx", "A 62010-2022")</f>
        <v/>
      </c>
      <c r="X11">
        <f>HYPERLINK("https://klasma.github.io/Logging_1715/kartor/A 62010-2022 karta.png", "A 62010-2022")</f>
        <v/>
      </c>
      <c r="Y11">
        <f>HYPERLINK("https://klasma.github.io/Logging_1715/kartor_geotiff/A 62010-2022 georefererad karta.tif", "A 62010-2022")</f>
        <v/>
      </c>
      <c r="AA11">
        <f>HYPERLINK("https://klasma.github.io/Logging_1715/klagomål/A 62010-2022 FSC-klagomål.docx", "A 62010-2022")</f>
        <v/>
      </c>
      <c r="AB11">
        <f>HYPERLINK("https://klasma.github.io/Logging_1715/klagomålsmail/A 62010-2022 FSC-klagomål mail.docx", "A 62010-2022")</f>
        <v/>
      </c>
      <c r="AC11">
        <f>HYPERLINK("https://klasma.github.io/Logging_1715/tillsyn/A 62010-2022 tillsynsbegäran.docx", "A 62010-2022")</f>
        <v/>
      </c>
      <c r="AD11">
        <f>HYPERLINK("https://klasma.github.io/Logging_1715/tillsynsmail/A 62010-2022 tillsynsbegäran mail.docx", "A 62010-2022")</f>
        <v/>
      </c>
    </row>
    <row r="12" ht="15" customHeight="1">
      <c r="A12" t="inlineStr">
        <is>
          <t>A 1320-2023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44936</v>
      </c>
      <c r="E12" s="1" t="n">
        <v>46323</v>
      </c>
      <c r="F12" t="inlineStr">
        <is>
          <t>VÄRMLANDS LÄN</t>
        </is>
      </c>
      <c r="G12" t="inlineStr">
        <is>
          <t>KIL</t>
        </is>
      </c>
      <c r="I12" t="n">
        <v>0.5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Vanlig snok</t>
        </is>
      </c>
      <c r="W12">
        <f>HYPERLINK("https://klasma.github.io/Logging_1715/artfynd/A 1320-2023 artfynd.xlsx", "A 1320-2023")</f>
        <v/>
      </c>
      <c r="X12">
        <f>HYPERLINK("https://klasma.github.io/Logging_1715/kartor/A 1320-2023 karta.png", "A 1320-2023")</f>
        <v/>
      </c>
      <c r="Y12">
        <f>HYPERLINK("https://klasma.github.io/Logging_1715/kartor_geotiff/A 1320-2023 georefererad karta.tif", "A 1320-2023")</f>
        <v/>
      </c>
      <c r="AA12">
        <f>HYPERLINK("https://klasma.github.io/Logging_1715/klagomål/A 1320-2023 FSC-klagomål.docx", "A 1320-2023")</f>
        <v/>
      </c>
      <c r="AB12">
        <f>HYPERLINK("https://klasma.github.io/Logging_1715/klagomålsmail/A 1320-2023 FSC-klagomål mail.docx", "A 1320-2023")</f>
        <v/>
      </c>
      <c r="AC12">
        <f>HYPERLINK("https://klasma.github.io/Logging_1715/tillsyn/A 1320-2023 tillsynsbegäran.docx", "A 1320-2023")</f>
        <v/>
      </c>
      <c r="AD12">
        <f>HYPERLINK("https://klasma.github.io/Logging_1715/tillsynsmail/A 1320-2023 tillsynsbegäran mail.docx", "A 1320-2023")</f>
        <v/>
      </c>
    </row>
    <row r="13" ht="15" customHeight="1">
      <c r="A13" t="inlineStr">
        <is>
          <t>A 40853-2024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45558</v>
      </c>
      <c r="E13" s="1" t="n">
        <v>46323</v>
      </c>
      <c r="F13" t="inlineStr">
        <is>
          <t>VÄRMLANDS LÄN</t>
        </is>
      </c>
      <c r="G13" t="inlineStr">
        <is>
          <t>KIL</t>
        </is>
      </c>
      <c r="I13" t="n">
        <v>1.7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s="2" t="inlineStr">
        <is>
          <t>Fläcknycklar</t>
        </is>
      </c>
      <c r="W13">
        <f>HYPERLINK("https://klasma.github.io/Logging_1715/artfynd/A 40853-2024 artfynd.xlsx", "A 40853-2024")</f>
        <v/>
      </c>
      <c r="X13">
        <f>HYPERLINK("https://klasma.github.io/Logging_1715/kartor/A 40853-2024 karta.png", "A 40853-2024")</f>
        <v/>
      </c>
      <c r="Y13">
        <f>HYPERLINK("https://klasma.github.io/Logging_1715/kartor_geotiff/A 40853-2024 georefererad karta.tif", "A 40853-2024")</f>
        <v/>
      </c>
      <c r="AA13">
        <f>HYPERLINK("https://klasma.github.io/Logging_1715/klagomål/A 40853-2024 FSC-klagomål.docx", "A 40853-2024")</f>
        <v/>
      </c>
      <c r="AB13">
        <f>HYPERLINK("https://klasma.github.io/Logging_1715/klagomålsmail/A 40853-2024 FSC-klagomål mail.docx", "A 40853-2024")</f>
        <v/>
      </c>
      <c r="AC13">
        <f>HYPERLINK("https://klasma.github.io/Logging_1715/tillsyn/A 40853-2024 tillsynsbegäran.docx", "A 40853-2024")</f>
        <v/>
      </c>
      <c r="AD13">
        <f>HYPERLINK("https://klasma.github.io/Logging_1715/tillsynsmail/A 40853-2024 tillsynsbegäran mail.docx", "A 40853-2024")</f>
        <v/>
      </c>
    </row>
    <row r="14" ht="15" customHeight="1">
      <c r="A14" t="inlineStr">
        <is>
          <t>A 11330-2024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45371</v>
      </c>
      <c r="E14" s="1" t="n">
        <v>46323</v>
      </c>
      <c r="F14" t="inlineStr">
        <is>
          <t>VÄRMLANDS LÄN</t>
        </is>
      </c>
      <c r="G14" t="inlineStr">
        <is>
          <t>KIL</t>
        </is>
      </c>
      <c r="H14" t="inlineStr">
        <is>
          <t>Kyrkan</t>
        </is>
      </c>
      <c r="I14" t="n">
        <v>6.9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Vanlig groda</t>
        </is>
      </c>
      <c r="W14">
        <f>HYPERLINK("https://klasma.github.io/Logging_1715/artfynd/A 11330-2024 artfynd.xlsx", "A 11330-2024")</f>
        <v/>
      </c>
      <c r="X14">
        <f>HYPERLINK("https://klasma.github.io/Logging_1715/kartor/A 11330-2024 karta.png", "A 11330-2024")</f>
        <v/>
      </c>
      <c r="Y14">
        <f>HYPERLINK("https://klasma.github.io/Logging_1715/kartor_geotiff/A 11330-2024 georefererad karta.tif", "A 11330-2024")</f>
        <v/>
      </c>
      <c r="AA14">
        <f>HYPERLINK("https://klasma.github.io/Logging_1715/klagomål/A 11330-2024 FSC-klagomål.docx", "A 11330-2024")</f>
        <v/>
      </c>
      <c r="AB14">
        <f>HYPERLINK("https://klasma.github.io/Logging_1715/klagomålsmail/A 11330-2024 FSC-klagomål mail.docx", "A 11330-2024")</f>
        <v/>
      </c>
      <c r="AC14">
        <f>HYPERLINK("https://klasma.github.io/Logging_1715/tillsyn/A 11330-2024 tillsynsbegäran.docx", "A 11330-2024")</f>
        <v/>
      </c>
      <c r="AD14">
        <f>HYPERLINK("https://klasma.github.io/Logging_1715/tillsynsmail/A 11330-2024 tillsynsbegäran mail.docx", "A 11330-2024")</f>
        <v/>
      </c>
    </row>
    <row r="15" ht="15" customHeight="1">
      <c r="A15" t="inlineStr">
        <is>
          <t>A 8909-2025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45713</v>
      </c>
      <c r="E15" s="1" t="n">
        <v>46323</v>
      </c>
      <c r="F15" t="inlineStr">
        <is>
          <t>VÄRMLANDS LÄN</t>
        </is>
      </c>
      <c r="G15" t="inlineStr">
        <is>
          <t>KIL</t>
        </is>
      </c>
      <c r="I15" t="n">
        <v>22.6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3</v>
      </c>
      <c r="U15" t="n">
        <v>0</v>
      </c>
      <c r="V15" s="2" t="inlineStr">
        <is>
          <t>Desmeknopp</t>
        </is>
      </c>
      <c r="W15">
        <f>HYPERLINK("https://klasma.github.io/Logging_1715/artfynd/A 8909-2025 artfynd.xlsx", "A 8909-2025")</f>
        <v/>
      </c>
      <c r="X15">
        <f>HYPERLINK("https://klasma.github.io/Logging_1715/kartor/A 8909-2025 karta.png", "A 8909-2025")</f>
        <v/>
      </c>
      <c r="Y15">
        <f>HYPERLINK("https://klasma.github.io/Logging_1715/kartor_geotiff/A 8909-2025 georefererad karta.tif", "A 8909-2025")</f>
        <v/>
      </c>
      <c r="AA15">
        <f>HYPERLINK("https://klasma.github.io/Logging_1715/klagomål/A 8909-2025 FSC-klagomål.docx", "A 8909-2025")</f>
        <v/>
      </c>
      <c r="AB15">
        <f>HYPERLINK("https://klasma.github.io/Logging_1715/klagomålsmail/A 8909-2025 FSC-klagomål mail.docx", "A 8909-2025")</f>
        <v/>
      </c>
      <c r="AC15">
        <f>HYPERLINK("https://klasma.github.io/Logging_1715/tillsyn/A 8909-2025 tillsynsbegäran.docx", "A 8909-2025")</f>
        <v/>
      </c>
      <c r="AD15">
        <f>HYPERLINK("https://klasma.github.io/Logging_1715/tillsynsmail/A 8909-2025 tillsynsbegäran mail.docx", "A 8909-2025")</f>
        <v/>
      </c>
    </row>
    <row r="16" ht="15" customHeight="1">
      <c r="A16" t="inlineStr">
        <is>
          <t>A 56642-2022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44893</v>
      </c>
      <c r="E16" s="1" t="n">
        <v>46323</v>
      </c>
      <c r="F16" t="inlineStr">
        <is>
          <t>VÄRMLANDS LÄN</t>
        </is>
      </c>
      <c r="G16" t="inlineStr">
        <is>
          <t>KIL</t>
        </is>
      </c>
      <c r="H16" t="inlineStr">
        <is>
          <t>Bergvik skog väst AB</t>
        </is>
      </c>
      <c r="I16" t="n">
        <v>2.5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Svart trolldruva</t>
        </is>
      </c>
      <c r="W16">
        <f>HYPERLINK("https://klasma.github.io/Logging_1715/artfynd/A 56642-2022 artfynd.xlsx", "A 56642-2022")</f>
        <v/>
      </c>
      <c r="X16">
        <f>HYPERLINK("https://klasma.github.io/Logging_1715/kartor/A 56642-2022 karta.png", "A 56642-2022")</f>
        <v/>
      </c>
      <c r="Y16">
        <f>HYPERLINK("https://klasma.github.io/Logging_1715/kartor_geotiff/A 56642-2022 georefererad karta.tif", "A 56642-2022")</f>
        <v/>
      </c>
      <c r="AA16">
        <f>HYPERLINK("https://klasma.github.io/Logging_1715/klagomål/A 56642-2022 FSC-klagomål.docx", "A 56642-2022")</f>
        <v/>
      </c>
      <c r="AB16">
        <f>HYPERLINK("https://klasma.github.io/Logging_1715/klagomålsmail/A 56642-2022 FSC-klagomål mail.docx", "A 56642-2022")</f>
        <v/>
      </c>
      <c r="AC16">
        <f>HYPERLINK("https://klasma.github.io/Logging_1715/tillsyn/A 56642-2022 tillsynsbegäran.docx", "A 56642-2022")</f>
        <v/>
      </c>
      <c r="AD16">
        <f>HYPERLINK("https://klasma.github.io/Logging_1715/tillsynsmail/A 56642-2022 tillsynsbegäran mail.docx", "A 56642-2022")</f>
        <v/>
      </c>
    </row>
    <row r="17" ht="15" customHeight="1">
      <c r="A17" t="inlineStr">
        <is>
          <t>A 35453-2024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45531</v>
      </c>
      <c r="E17" s="1" t="n">
        <v>46323</v>
      </c>
      <c r="F17" t="inlineStr">
        <is>
          <t>VÄRMLANDS LÄN</t>
        </is>
      </c>
      <c r="G17" t="inlineStr">
        <is>
          <t>KIL</t>
        </is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Trana</t>
        </is>
      </c>
      <c r="W17">
        <f>HYPERLINK("https://klasma.github.io/Logging_1715/artfynd/A 35453-2024 artfynd.xlsx", "A 35453-2024")</f>
        <v/>
      </c>
      <c r="X17">
        <f>HYPERLINK("https://klasma.github.io/Logging_1715/kartor/A 35453-2024 karta.png", "A 35453-2024")</f>
        <v/>
      </c>
      <c r="Y17">
        <f>HYPERLINK("https://klasma.github.io/Logging_1715/kartor_geotiff/A 35453-2024 georefererad karta.tif", "A 35453-2024")</f>
        <v/>
      </c>
      <c r="AA17">
        <f>HYPERLINK("https://klasma.github.io/Logging_1715/klagomål/A 35453-2024 FSC-klagomål.docx", "A 35453-2024")</f>
        <v/>
      </c>
      <c r="AB17">
        <f>HYPERLINK("https://klasma.github.io/Logging_1715/klagomålsmail/A 35453-2024 FSC-klagomål mail.docx", "A 35453-2024")</f>
        <v/>
      </c>
      <c r="AC17">
        <f>HYPERLINK("https://klasma.github.io/Logging_1715/tillsyn/A 35453-2024 tillsynsbegäran.docx", "A 35453-2024")</f>
        <v/>
      </c>
      <c r="AD17">
        <f>HYPERLINK("https://klasma.github.io/Logging_1715/tillsynsmail/A 35453-2024 tillsynsbegäran mail.docx", "A 35453-2024")</f>
        <v/>
      </c>
      <c r="AE17">
        <f>HYPERLINK("https://klasma.github.io/Logging_1715/fåglar/A 35453-2024 prioriterade fågelarter.docx", "A 35453-2024")</f>
        <v/>
      </c>
    </row>
    <row r="18" ht="15" customHeight="1">
      <c r="A18" t="inlineStr">
        <is>
          <t>A 38039-2024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45544</v>
      </c>
      <c r="E18" s="1" t="n">
        <v>46323</v>
      </c>
      <c r="F18" t="inlineStr">
        <is>
          <t>VÄRMLANDS LÄN</t>
        </is>
      </c>
      <c r="G18" t="inlineStr">
        <is>
          <t>KIL</t>
        </is>
      </c>
      <c r="I18" t="n">
        <v>4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Vedticka</t>
        </is>
      </c>
      <c r="W18">
        <f>HYPERLINK("https://klasma.github.io/Logging_1715/artfynd/A 38039-2024 artfynd.xlsx", "A 38039-2024")</f>
        <v/>
      </c>
      <c r="X18">
        <f>HYPERLINK("https://klasma.github.io/Logging_1715/kartor/A 38039-2024 karta.png", "A 38039-2024")</f>
        <v/>
      </c>
      <c r="Y18">
        <f>HYPERLINK("https://klasma.github.io/Logging_1715/kartor_geotiff/A 38039-2024 georefererad karta.tif", "A 38039-2024")</f>
        <v/>
      </c>
      <c r="AA18">
        <f>HYPERLINK("https://klasma.github.io/Logging_1715/klagomål/A 38039-2024 FSC-klagomål.docx", "A 38039-2024")</f>
        <v/>
      </c>
      <c r="AB18">
        <f>HYPERLINK("https://klasma.github.io/Logging_1715/klagomålsmail/A 38039-2024 FSC-klagomål mail.docx", "A 38039-2024")</f>
        <v/>
      </c>
      <c r="AC18">
        <f>HYPERLINK("https://klasma.github.io/Logging_1715/tillsyn/A 38039-2024 tillsynsbegäran.docx", "A 38039-2024")</f>
        <v/>
      </c>
      <c r="AD18">
        <f>HYPERLINK("https://klasma.github.io/Logging_1715/tillsynsmail/A 38039-2024 tillsynsbegäran mail.docx", "A 38039-2024")</f>
        <v/>
      </c>
    </row>
    <row r="19" ht="15" customHeight="1">
      <c r="A19" t="inlineStr">
        <is>
          <t>A 42668-2025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45907</v>
      </c>
      <c r="E19" s="1" t="n">
        <v>46323</v>
      </c>
      <c r="F19" t="inlineStr">
        <is>
          <t>VÄRMLANDS LÄN</t>
        </is>
      </c>
      <c r="G19" t="inlineStr">
        <is>
          <t>KIL</t>
        </is>
      </c>
      <c r="H19" t="inlineStr">
        <is>
          <t>Kyrkan</t>
        </is>
      </c>
      <c r="I19" t="n">
        <v>11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</v>
      </c>
      <c r="U19" t="n">
        <v>0</v>
      </c>
      <c r="V19" s="2" t="inlineStr">
        <is>
          <t>Kambräken</t>
        </is>
      </c>
      <c r="W19">
        <f>HYPERLINK("https://klasma.github.io/Logging_1715/artfynd/A 42668-2025 artfynd.xlsx", "A 42668-2025")</f>
        <v/>
      </c>
      <c r="X19">
        <f>HYPERLINK("https://klasma.github.io/Logging_1715/kartor/A 42668-2025 karta.png", "A 42668-2025")</f>
        <v/>
      </c>
      <c r="Y19">
        <f>HYPERLINK("https://klasma.github.io/Logging_1715/kartor_geotiff/A 42668-2025 georefererad karta.tif", "A 42668-2025")</f>
        <v/>
      </c>
      <c r="AA19">
        <f>HYPERLINK("https://klasma.github.io/Logging_1715/klagomål/A 42668-2025 FSC-klagomål.docx", "A 42668-2025")</f>
        <v/>
      </c>
      <c r="AB19">
        <f>HYPERLINK("https://klasma.github.io/Logging_1715/klagomålsmail/A 42668-2025 FSC-klagomål mail.docx", "A 42668-2025")</f>
        <v/>
      </c>
      <c r="AC19">
        <f>HYPERLINK("https://klasma.github.io/Logging_1715/tillsyn/A 42668-2025 tillsynsbegäran.docx", "A 42668-2025")</f>
        <v/>
      </c>
      <c r="AD19">
        <f>HYPERLINK("https://klasma.github.io/Logging_1715/tillsynsmail/A 42668-2025 tillsynsbegäran mail.docx", "A 42668-2025")</f>
        <v/>
      </c>
    </row>
    <row r="20" ht="15" customHeight="1">
      <c r="A20" t="inlineStr">
        <is>
          <t>A 64553-2021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44511</v>
      </c>
      <c r="E20" s="1" t="n">
        <v>46323</v>
      </c>
      <c r="F20" t="inlineStr">
        <is>
          <t>VÄRMLANDS LÄN</t>
        </is>
      </c>
      <c r="G20" t="inlineStr">
        <is>
          <t>KIL</t>
        </is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16874-2022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44675</v>
      </c>
      <c r="E21" s="1" t="n">
        <v>46323</v>
      </c>
      <c r="F21" t="inlineStr">
        <is>
          <t>VÄRMLANDS LÄN</t>
        </is>
      </c>
      <c r="G21" t="inlineStr">
        <is>
          <t>KIL</t>
        </is>
      </c>
      <c r="I21" t="n">
        <v>3.3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61638-2021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44501</v>
      </c>
      <c r="E22" s="1" t="n">
        <v>46323</v>
      </c>
      <c r="F22" t="inlineStr">
        <is>
          <t>VÄRMLANDS LÄN</t>
        </is>
      </c>
      <c r="G22" t="inlineStr">
        <is>
          <t>KIL</t>
        </is>
      </c>
      <c r="I22" t="n">
        <v>1.9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68728-2021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44529</v>
      </c>
      <c r="E23" s="1" t="n">
        <v>46323</v>
      </c>
      <c r="F23" t="inlineStr">
        <is>
          <t>VÄRMLANDS LÄN</t>
        </is>
      </c>
      <c r="G23" t="inlineStr">
        <is>
          <t>KIL</t>
        </is>
      </c>
      <c r="I23" t="n">
        <v>6.3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5415-2022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44594</v>
      </c>
      <c r="E24" s="1" t="n">
        <v>46323</v>
      </c>
      <c r="F24" t="inlineStr">
        <is>
          <t>VÄRMLANDS LÄN</t>
        </is>
      </c>
      <c r="G24" t="inlineStr">
        <is>
          <t>KIL</t>
        </is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65271-2021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44515</v>
      </c>
      <c r="E25" s="1" t="n">
        <v>46323</v>
      </c>
      <c r="F25" t="inlineStr">
        <is>
          <t>VÄRMLANDS LÄN</t>
        </is>
      </c>
      <c r="G25" t="inlineStr">
        <is>
          <t>KIL</t>
        </is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1256-2022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44572</v>
      </c>
      <c r="E26" s="1" t="n">
        <v>46323</v>
      </c>
      <c r="F26" t="inlineStr">
        <is>
          <t>VÄRMLANDS LÄN</t>
        </is>
      </c>
      <c r="G26" t="inlineStr">
        <is>
          <t>KIL</t>
        </is>
      </c>
      <c r="I26" t="n">
        <v>5.4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46295-2022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44847</v>
      </c>
      <c r="E27" s="1" t="n">
        <v>46323</v>
      </c>
      <c r="F27" t="inlineStr">
        <is>
          <t>VÄRMLANDS LÄN</t>
        </is>
      </c>
      <c r="G27" t="inlineStr">
        <is>
          <t>KIL</t>
        </is>
      </c>
      <c r="I27" t="n">
        <v>1.5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36302-2022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44803</v>
      </c>
      <c r="E28" s="1" t="n">
        <v>46323</v>
      </c>
      <c r="F28" t="inlineStr">
        <is>
          <t>VÄRMLANDS LÄN</t>
        </is>
      </c>
      <c r="G28" t="inlineStr">
        <is>
          <t>KIL</t>
        </is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45773-2022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44846</v>
      </c>
      <c r="E29" s="1" t="n">
        <v>46323</v>
      </c>
      <c r="F29" t="inlineStr">
        <is>
          <t>VÄRMLANDS LÄN</t>
        </is>
      </c>
      <c r="G29" t="inlineStr">
        <is>
          <t>KIL</t>
        </is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64508-2021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44511</v>
      </c>
      <c r="E30" s="1" t="n">
        <v>46323</v>
      </c>
      <c r="F30" t="inlineStr">
        <is>
          <t>VÄRMLANDS LÄN</t>
        </is>
      </c>
      <c r="G30" t="inlineStr">
        <is>
          <t>KIL</t>
        </is>
      </c>
      <c r="I30" t="n">
        <v>0.6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1330-2022</t>
        </is>
      </c>
      <c r="B31" t="inlineStr">
        <is>
          <t>avverkningsanmälan</t>
        </is>
      </c>
      <c r="C31" t="inlineStr">
        <is>
          <t>Avverkning för annat ändamål</t>
        </is>
      </c>
      <c r="D31" s="1" t="n">
        <v>44572</v>
      </c>
      <c r="E31" s="1" t="n">
        <v>46323</v>
      </c>
      <c r="F31" t="inlineStr">
        <is>
          <t>VÄRMLANDS LÄN</t>
        </is>
      </c>
      <c r="G31" t="inlineStr">
        <is>
          <t>KIL</t>
        </is>
      </c>
      <c r="I31" t="n">
        <v>2.2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2993-2022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44581</v>
      </c>
      <c r="E32" s="1" t="n">
        <v>46323</v>
      </c>
      <c r="F32" t="inlineStr">
        <is>
          <t>VÄRMLANDS LÄN</t>
        </is>
      </c>
      <c r="G32" t="inlineStr">
        <is>
          <t>KIL</t>
        </is>
      </c>
      <c r="I32" t="n">
        <v>0.6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12043-2022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44636</v>
      </c>
      <c r="E33" s="1" t="n">
        <v>46323</v>
      </c>
      <c r="F33" t="inlineStr">
        <is>
          <t>VÄRMLANDS LÄN</t>
        </is>
      </c>
      <c r="G33" t="inlineStr">
        <is>
          <t>KIL</t>
        </is>
      </c>
      <c r="I33" t="n">
        <v>0.8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70942-2021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44538</v>
      </c>
      <c r="E34" s="1" t="n">
        <v>46323</v>
      </c>
      <c r="F34" t="inlineStr">
        <is>
          <t>VÄRMLANDS LÄN</t>
        </is>
      </c>
      <c r="G34" t="inlineStr">
        <is>
          <t>KIL</t>
        </is>
      </c>
      <c r="I34" t="n">
        <v>1.1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65904-2021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44517</v>
      </c>
      <c r="E35" s="1" t="n">
        <v>46323</v>
      </c>
      <c r="F35" t="inlineStr">
        <is>
          <t>VÄRMLANDS LÄN</t>
        </is>
      </c>
      <c r="G35" t="inlineStr">
        <is>
          <t>KIL</t>
        </is>
      </c>
      <c r="I35" t="n">
        <v>1.6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4450-2022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44589</v>
      </c>
      <c r="E36" s="1" t="n">
        <v>46323</v>
      </c>
      <c r="F36" t="inlineStr">
        <is>
          <t>VÄRMLANDS LÄN</t>
        </is>
      </c>
      <c r="G36" t="inlineStr">
        <is>
          <t>KIL</t>
        </is>
      </c>
      <c r="I36" t="n">
        <v>2.2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64543-2021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44511</v>
      </c>
      <c r="E37" s="1" t="n">
        <v>46323</v>
      </c>
      <c r="F37" t="inlineStr">
        <is>
          <t>VÄRMLANDS LÄN</t>
        </is>
      </c>
      <c r="G37" t="inlineStr">
        <is>
          <t>KIL</t>
        </is>
      </c>
      <c r="I37" t="n">
        <v>0.6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64559-2021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44511</v>
      </c>
      <c r="E38" s="1" t="n">
        <v>46323</v>
      </c>
      <c r="F38" t="inlineStr">
        <is>
          <t>VÄRMLANDS LÄN</t>
        </is>
      </c>
      <c r="G38" t="inlineStr">
        <is>
          <t>KIL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65900-2021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44517</v>
      </c>
      <c r="E39" s="1" t="n">
        <v>46323</v>
      </c>
      <c r="F39" t="inlineStr">
        <is>
          <t>VÄRMLANDS LÄN</t>
        </is>
      </c>
      <c r="G39" t="inlineStr">
        <is>
          <t>KIL</t>
        </is>
      </c>
      <c r="I39" t="n">
        <v>1.6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40107-2022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44820</v>
      </c>
      <c r="E40" s="1" t="n">
        <v>46323</v>
      </c>
      <c r="F40" t="inlineStr">
        <is>
          <t>VÄRMLANDS LÄN</t>
        </is>
      </c>
      <c r="G40" t="inlineStr">
        <is>
          <t>KIL</t>
        </is>
      </c>
      <c r="H40" t="inlineStr">
        <is>
          <t>Kommuner</t>
        </is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4448-2022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44589</v>
      </c>
      <c r="E41" s="1" t="n">
        <v>46323</v>
      </c>
      <c r="F41" t="inlineStr">
        <is>
          <t>VÄRMLANDS LÄN</t>
        </is>
      </c>
      <c r="G41" t="inlineStr">
        <is>
          <t>KIL</t>
        </is>
      </c>
      <c r="I41" t="n">
        <v>0.4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64552-2021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44511</v>
      </c>
      <c r="E42" s="1" t="n">
        <v>46323</v>
      </c>
      <c r="F42" t="inlineStr">
        <is>
          <t>VÄRMLANDS LÄN</t>
        </is>
      </c>
      <c r="G42" t="inlineStr">
        <is>
          <t>KIL</t>
        </is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62135-2021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44502</v>
      </c>
      <c r="E43" s="1" t="n">
        <v>46323</v>
      </c>
      <c r="F43" t="inlineStr">
        <is>
          <t>VÄRMLANDS LÄN</t>
        </is>
      </c>
      <c r="G43" t="inlineStr">
        <is>
          <t>KIL</t>
        </is>
      </c>
      <c r="I43" t="n">
        <v>1.6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66809-2021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44522</v>
      </c>
      <c r="E44" s="1" t="n">
        <v>46323</v>
      </c>
      <c r="F44" t="inlineStr">
        <is>
          <t>VÄRMLANDS LÄN</t>
        </is>
      </c>
      <c r="G44" t="inlineStr">
        <is>
          <t>KIL</t>
        </is>
      </c>
      <c r="I44" t="n">
        <v>13.7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48787-2022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44859</v>
      </c>
      <c r="E45" s="1" t="n">
        <v>46323</v>
      </c>
      <c r="F45" t="inlineStr">
        <is>
          <t>VÄRMLANDS LÄN</t>
        </is>
      </c>
      <c r="G45" t="inlineStr">
        <is>
          <t>KIL</t>
        </is>
      </c>
      <c r="I45" t="n">
        <v>0.6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73022-2021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44550</v>
      </c>
      <c r="E46" s="1" t="n">
        <v>46323</v>
      </c>
      <c r="F46" t="inlineStr">
        <is>
          <t>VÄRMLANDS LÄN</t>
        </is>
      </c>
      <c r="G46" t="inlineStr">
        <is>
          <t>KIL</t>
        </is>
      </c>
      <c r="I46" t="n">
        <v>0.9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37962-2022</t>
        </is>
      </c>
      <c r="B47" t="inlineStr">
        <is>
          <t>avverkningsanmälan</t>
        </is>
      </c>
      <c r="C47" t="inlineStr">
        <is>
          <t>Avverkning för annat ändamål</t>
        </is>
      </c>
      <c r="D47" s="1" t="n">
        <v>44811</v>
      </c>
      <c r="E47" s="1" t="n">
        <v>46323</v>
      </c>
      <c r="F47" t="inlineStr">
        <is>
          <t>VÄRMLANDS LÄN</t>
        </is>
      </c>
      <c r="G47" t="inlineStr">
        <is>
          <t>KIL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2688-2023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44942</v>
      </c>
      <c r="E48" s="1" t="n">
        <v>46323</v>
      </c>
      <c r="F48" t="inlineStr">
        <is>
          <t>VÄRMLANDS LÄN</t>
        </is>
      </c>
      <c r="G48" t="inlineStr">
        <is>
          <t>KIL</t>
        </is>
      </c>
      <c r="I48" t="n">
        <v>1.5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33907-2022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44790</v>
      </c>
      <c r="E49" s="1" t="n">
        <v>46323</v>
      </c>
      <c r="F49" t="inlineStr">
        <is>
          <t>VÄRMLANDS LÄN</t>
        </is>
      </c>
      <c r="G49" t="inlineStr">
        <is>
          <t>KIL</t>
        </is>
      </c>
      <c r="H49" t="inlineStr">
        <is>
          <t>Kommuner</t>
        </is>
      </c>
      <c r="I49" t="n">
        <v>2.1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62669-2023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45271</v>
      </c>
      <c r="E50" s="1" t="n">
        <v>46323</v>
      </c>
      <c r="F50" t="inlineStr">
        <is>
          <t>VÄRMLANDS LÄN</t>
        </is>
      </c>
      <c r="G50" t="inlineStr">
        <is>
          <t>KIL</t>
        </is>
      </c>
      <c r="I50" t="n">
        <v>0.7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15039-2022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44657</v>
      </c>
      <c r="E51" s="1" t="n">
        <v>46323</v>
      </c>
      <c r="F51" t="inlineStr">
        <is>
          <t>VÄRMLANDS LÄN</t>
        </is>
      </c>
      <c r="G51" t="inlineStr">
        <is>
          <t>KIL</t>
        </is>
      </c>
      <c r="I51" t="n">
        <v>0.7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53956-2024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45616</v>
      </c>
      <c r="E52" s="1" t="n">
        <v>46323</v>
      </c>
      <c r="F52" t="inlineStr">
        <is>
          <t>VÄRMLANDS LÄN</t>
        </is>
      </c>
      <c r="G52" t="inlineStr">
        <is>
          <t>KIL</t>
        </is>
      </c>
      <c r="I52" t="n">
        <v>4.7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17816-2023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45037</v>
      </c>
      <c r="E53" s="1" t="n">
        <v>46323</v>
      </c>
      <c r="F53" t="inlineStr">
        <is>
          <t>VÄRMLANDS LÄN</t>
        </is>
      </c>
      <c r="G53" t="inlineStr">
        <is>
          <t>KIL</t>
        </is>
      </c>
      <c r="I53" t="n">
        <v>1.6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33566-2024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45520</v>
      </c>
      <c r="E54" s="1" t="n">
        <v>46323</v>
      </c>
      <c r="F54" t="inlineStr">
        <is>
          <t>VÄRMLANDS LÄN</t>
        </is>
      </c>
      <c r="G54" t="inlineStr">
        <is>
          <t>KIL</t>
        </is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65891-2021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44517</v>
      </c>
      <c r="E55" s="1" t="n">
        <v>46323</v>
      </c>
      <c r="F55" t="inlineStr">
        <is>
          <t>VÄRMLANDS LÄN</t>
        </is>
      </c>
      <c r="G55" t="inlineStr">
        <is>
          <t>KIL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5286-2023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44959</v>
      </c>
      <c r="E56" s="1" t="n">
        <v>46323</v>
      </c>
      <c r="F56" t="inlineStr">
        <is>
          <t>VÄRMLANDS LÄN</t>
        </is>
      </c>
      <c r="G56" t="inlineStr">
        <is>
          <t>KIL</t>
        </is>
      </c>
      <c r="I56" t="n">
        <v>5.3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16596-2023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45030</v>
      </c>
      <c r="E57" s="1" t="n">
        <v>46323</v>
      </c>
      <c r="F57" t="inlineStr">
        <is>
          <t>VÄRMLANDS LÄN</t>
        </is>
      </c>
      <c r="G57" t="inlineStr">
        <is>
          <t>KIL</t>
        </is>
      </c>
      <c r="I57" t="n">
        <v>4.5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4445-2022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44589</v>
      </c>
      <c r="E58" s="1" t="n">
        <v>46323</v>
      </c>
      <c r="F58" t="inlineStr">
        <is>
          <t>VÄRMLANDS LÄN</t>
        </is>
      </c>
      <c r="G58" t="inlineStr">
        <is>
          <t>KIL</t>
        </is>
      </c>
      <c r="I58" t="n">
        <v>0.7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53416-2023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45229</v>
      </c>
      <c r="E59" s="1" t="n">
        <v>46323</v>
      </c>
      <c r="F59" t="inlineStr">
        <is>
          <t>VÄRMLANDS LÄN</t>
        </is>
      </c>
      <c r="G59" t="inlineStr">
        <is>
          <t>KIL</t>
        </is>
      </c>
      <c r="I59" t="n">
        <v>2.5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62807-2023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45271</v>
      </c>
      <c r="E60" s="1" t="n">
        <v>46323</v>
      </c>
      <c r="F60" t="inlineStr">
        <is>
          <t>VÄRMLANDS LÄN</t>
        </is>
      </c>
      <c r="G60" t="inlineStr">
        <is>
          <t>KIL</t>
        </is>
      </c>
      <c r="I60" t="n">
        <v>1.2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6015-2023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44964</v>
      </c>
      <c r="E61" s="1" t="n">
        <v>46323</v>
      </c>
      <c r="F61" t="inlineStr">
        <is>
          <t>VÄRMLANDS LÄN</t>
        </is>
      </c>
      <c r="G61" t="inlineStr">
        <is>
          <t>KIL</t>
        </is>
      </c>
      <c r="I61" t="n">
        <v>0.6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14675-2024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45397</v>
      </c>
      <c r="E62" s="1" t="n">
        <v>46323</v>
      </c>
      <c r="F62" t="inlineStr">
        <is>
          <t>VÄRMLANDS LÄN</t>
        </is>
      </c>
      <c r="G62" t="inlineStr">
        <is>
          <t>KIL</t>
        </is>
      </c>
      <c r="I62" t="n">
        <v>8.199999999999999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20743-2024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45436</v>
      </c>
      <c r="E63" s="1" t="n">
        <v>46323</v>
      </c>
      <c r="F63" t="inlineStr">
        <is>
          <t>VÄRMLANDS LÄN</t>
        </is>
      </c>
      <c r="G63" t="inlineStr">
        <is>
          <t>KIL</t>
        </is>
      </c>
      <c r="I63" t="n">
        <v>1.4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39492-2023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45166</v>
      </c>
      <c r="E64" s="1" t="n">
        <v>46323</v>
      </c>
      <c r="F64" t="inlineStr">
        <is>
          <t>VÄRMLANDS LÄN</t>
        </is>
      </c>
      <c r="G64" t="inlineStr">
        <is>
          <t>KIL</t>
        </is>
      </c>
      <c r="H64" t="inlineStr">
        <is>
          <t>Kyrkan</t>
        </is>
      </c>
      <c r="I64" t="n">
        <v>24.9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43285-2024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45568</v>
      </c>
      <c r="E65" s="1" t="n">
        <v>46323</v>
      </c>
      <c r="F65" t="inlineStr">
        <is>
          <t>VÄRMLANDS LÄN</t>
        </is>
      </c>
      <c r="G65" t="inlineStr">
        <is>
          <t>KIL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64374-2023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45280</v>
      </c>
      <c r="E66" s="1" t="n">
        <v>46323</v>
      </c>
      <c r="F66" t="inlineStr">
        <is>
          <t>VÄRMLANDS LÄN</t>
        </is>
      </c>
      <c r="G66" t="inlineStr">
        <is>
          <t>KIL</t>
        </is>
      </c>
      <c r="I66" t="n">
        <v>1.8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59061-2023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45252</v>
      </c>
      <c r="E67" s="1" t="n">
        <v>46323</v>
      </c>
      <c r="F67" t="inlineStr">
        <is>
          <t>VÄRMLANDS LÄN</t>
        </is>
      </c>
      <c r="G67" t="inlineStr">
        <is>
          <t>KIL</t>
        </is>
      </c>
      <c r="I67" t="n">
        <v>7.2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41074-2022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44825</v>
      </c>
      <c r="E68" s="1" t="n">
        <v>46323</v>
      </c>
      <c r="F68" t="inlineStr">
        <is>
          <t>VÄRMLANDS LÄN</t>
        </is>
      </c>
      <c r="G68" t="inlineStr">
        <is>
          <t>KIL</t>
        </is>
      </c>
      <c r="I68" t="n">
        <v>4.8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30951-2022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44768</v>
      </c>
      <c r="E69" s="1" t="n">
        <v>46323</v>
      </c>
      <c r="F69" t="inlineStr">
        <is>
          <t>VÄRMLANDS LÄN</t>
        </is>
      </c>
      <c r="G69" t="inlineStr">
        <is>
          <t>KIL</t>
        </is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17946-2024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45419</v>
      </c>
      <c r="E70" s="1" t="n">
        <v>46323</v>
      </c>
      <c r="F70" t="inlineStr">
        <is>
          <t>VÄRMLANDS LÄN</t>
        </is>
      </c>
      <c r="G70" t="inlineStr">
        <is>
          <t>KIL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59064-2023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45252</v>
      </c>
      <c r="E71" s="1" t="n">
        <v>46323</v>
      </c>
      <c r="F71" t="inlineStr">
        <is>
          <t>VÄRMLANDS LÄN</t>
        </is>
      </c>
      <c r="G71" t="inlineStr">
        <is>
          <t>KIL</t>
        </is>
      </c>
      <c r="I71" t="n">
        <v>1.1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  <c r="Z71">
        <f>HYPERLINK("https://klasma.github.io/Logging_1715/knärot/A 59064-2023 karta knärot.png", "A 59064-2023")</f>
        <v/>
      </c>
      <c r="AA71">
        <f>HYPERLINK("https://klasma.github.io/Logging_1715/klagomål/A 59064-2023 FSC-klagomål.docx", "A 59064-2023")</f>
        <v/>
      </c>
      <c r="AB71">
        <f>HYPERLINK("https://klasma.github.io/Logging_1715/klagomålsmail/A 59064-2023 FSC-klagomål mail.docx", "A 59064-2023")</f>
        <v/>
      </c>
      <c r="AC71">
        <f>HYPERLINK("https://klasma.github.io/Logging_1715/tillsyn/A 59064-2023 tillsynsbegäran.docx", "A 59064-2023")</f>
        <v/>
      </c>
      <c r="AD71">
        <f>HYPERLINK("https://klasma.github.io/Logging_1715/tillsynsmail/A 59064-2023 tillsynsbegäran mail.docx", "A 59064-2023")</f>
        <v/>
      </c>
    </row>
    <row r="72" ht="15" customHeight="1">
      <c r="A72" t="inlineStr">
        <is>
          <t>A 46117-2022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44847</v>
      </c>
      <c r="E72" s="1" t="n">
        <v>46323</v>
      </c>
      <c r="F72" t="inlineStr">
        <is>
          <t>VÄRMLANDS LÄN</t>
        </is>
      </c>
      <c r="G72" t="inlineStr">
        <is>
          <t>KIL</t>
        </is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5758-2025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45694</v>
      </c>
      <c r="E73" s="1" t="n">
        <v>46323</v>
      </c>
      <c r="F73" t="inlineStr">
        <is>
          <t>VÄRMLANDS LÄN</t>
        </is>
      </c>
      <c r="G73" t="inlineStr">
        <is>
          <t>KIL</t>
        </is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12652-2024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45384</v>
      </c>
      <c r="E74" s="1" t="n">
        <v>46323</v>
      </c>
      <c r="F74" t="inlineStr">
        <is>
          <t>VÄRMLANDS LÄN</t>
        </is>
      </c>
      <c r="G74" t="inlineStr">
        <is>
          <t>KIL</t>
        </is>
      </c>
      <c r="I74" t="n">
        <v>5.4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14984-2024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45399</v>
      </c>
      <c r="E75" s="1" t="n">
        <v>46323</v>
      </c>
      <c r="F75" t="inlineStr">
        <is>
          <t>VÄRMLANDS LÄN</t>
        </is>
      </c>
      <c r="G75" t="inlineStr">
        <is>
          <t>KIL</t>
        </is>
      </c>
      <c r="I75" t="n">
        <v>3.5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14987-2024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45399</v>
      </c>
      <c r="E76" s="1" t="n">
        <v>46323</v>
      </c>
      <c r="F76" t="inlineStr">
        <is>
          <t>VÄRMLANDS LÄN</t>
        </is>
      </c>
      <c r="G76" t="inlineStr">
        <is>
          <t>KIL</t>
        </is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8910-2025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45713</v>
      </c>
      <c r="E77" s="1" t="n">
        <v>46323</v>
      </c>
      <c r="F77" t="inlineStr">
        <is>
          <t>VÄRMLANDS LÄN</t>
        </is>
      </c>
      <c r="G77" t="inlineStr">
        <is>
          <t>KIL</t>
        </is>
      </c>
      <c r="I77" t="n">
        <v>1.9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8916-2025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45713</v>
      </c>
      <c r="E78" s="1" t="n">
        <v>46323</v>
      </c>
      <c r="F78" t="inlineStr">
        <is>
          <t>VÄRMLANDS LÄN</t>
        </is>
      </c>
      <c r="G78" t="inlineStr">
        <is>
          <t>KIL</t>
        </is>
      </c>
      <c r="I78" t="n">
        <v>2.4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46288-2022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44847</v>
      </c>
      <c r="E79" s="1" t="n">
        <v>46323</v>
      </c>
      <c r="F79" t="inlineStr">
        <is>
          <t>VÄRMLANDS LÄN</t>
        </is>
      </c>
      <c r="G79" t="inlineStr">
        <is>
          <t>KIL</t>
        </is>
      </c>
      <c r="I79" t="n">
        <v>2.3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46290-2022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44847</v>
      </c>
      <c r="E80" s="1" t="n">
        <v>46323</v>
      </c>
      <c r="F80" t="inlineStr">
        <is>
          <t>VÄRMLANDS LÄN</t>
        </is>
      </c>
      <c r="G80" t="inlineStr">
        <is>
          <t>KIL</t>
        </is>
      </c>
      <c r="I80" t="n">
        <v>8.300000000000001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72073-2021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44544</v>
      </c>
      <c r="E81" s="1" t="n">
        <v>46323</v>
      </c>
      <c r="F81" t="inlineStr">
        <is>
          <t>VÄRMLANDS LÄN</t>
        </is>
      </c>
      <c r="G81" t="inlineStr">
        <is>
          <t>KIL</t>
        </is>
      </c>
      <c r="I81" t="n">
        <v>9.6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5754-2025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45694</v>
      </c>
      <c r="E82" s="1" t="n">
        <v>46323</v>
      </c>
      <c r="F82" t="inlineStr">
        <is>
          <t>VÄRMLANDS LÄN</t>
        </is>
      </c>
      <c r="G82" t="inlineStr">
        <is>
          <t>KIL</t>
        </is>
      </c>
      <c r="I82" t="n">
        <v>0.9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44927</v>
      </c>
      <c r="E83" s="1" t="n">
        <v>46323</v>
      </c>
      <c r="F83" t="inlineStr">
        <is>
          <t>VÄRMLANDS LÄN</t>
        </is>
      </c>
      <c r="G83" t="inlineStr">
        <is>
          <t>KIL</t>
        </is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59012-2024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45636</v>
      </c>
      <c r="E84" s="1" t="n">
        <v>46323</v>
      </c>
      <c r="F84" t="inlineStr">
        <is>
          <t>VÄRMLANDS LÄN</t>
        </is>
      </c>
      <c r="G84" t="inlineStr">
        <is>
          <t>KIL</t>
        </is>
      </c>
      <c r="I84" t="n">
        <v>1.6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65008-2023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45287</v>
      </c>
      <c r="E85" s="1" t="n">
        <v>46323</v>
      </c>
      <c r="F85" t="inlineStr">
        <is>
          <t>VÄRMLANDS LÄN</t>
        </is>
      </c>
      <c r="G85" t="inlineStr">
        <is>
          <t>KIL</t>
        </is>
      </c>
      <c r="I85" t="n">
        <v>2.1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10635-2024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45367</v>
      </c>
      <c r="E86" s="1" t="n">
        <v>46323</v>
      </c>
      <c r="F86" t="inlineStr">
        <is>
          <t>VÄRMLANDS LÄN</t>
        </is>
      </c>
      <c r="G86" t="inlineStr">
        <is>
          <t>KIL</t>
        </is>
      </c>
      <c r="I86" t="n">
        <v>1.3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44927</v>
      </c>
      <c r="E87" s="1" t="n">
        <v>46323</v>
      </c>
      <c r="F87" t="inlineStr">
        <is>
          <t>VÄRMLANDS LÄN</t>
        </is>
      </c>
      <c r="G87" t="inlineStr">
        <is>
          <t>KIL</t>
        </is>
      </c>
      <c r="I87" t="n">
        <v>1.3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5753-2025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45694</v>
      </c>
      <c r="E88" s="1" t="n">
        <v>46323</v>
      </c>
      <c r="F88" t="inlineStr">
        <is>
          <t>VÄRMLANDS LÄN</t>
        </is>
      </c>
      <c r="G88" t="inlineStr">
        <is>
          <t>KIL</t>
        </is>
      </c>
      <c r="I88" t="n">
        <v>1.5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34402-2022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44792</v>
      </c>
      <c r="E89" s="1" t="n">
        <v>46323</v>
      </c>
      <c r="F89" t="inlineStr">
        <is>
          <t>VÄRMLANDS LÄN</t>
        </is>
      </c>
      <c r="G89" t="inlineStr">
        <is>
          <t>KIL</t>
        </is>
      </c>
      <c r="I89" t="n">
        <v>1.3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12252-2024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45378</v>
      </c>
      <c r="E90" s="1" t="n">
        <v>46323</v>
      </c>
      <c r="F90" t="inlineStr">
        <is>
          <t>VÄRMLANDS LÄN</t>
        </is>
      </c>
      <c r="G90" t="inlineStr">
        <is>
          <t>KIL</t>
        </is>
      </c>
      <c r="I90" t="n">
        <v>0.4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15962-2025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45749</v>
      </c>
      <c r="E91" s="1" t="n">
        <v>46323</v>
      </c>
      <c r="F91" t="inlineStr">
        <is>
          <t>VÄRMLANDS LÄN</t>
        </is>
      </c>
      <c r="G91" t="inlineStr">
        <is>
          <t>KIL</t>
        </is>
      </c>
      <c r="I91" t="n">
        <v>2.1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62667-2023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45271</v>
      </c>
      <c r="E92" s="1" t="n">
        <v>46323</v>
      </c>
      <c r="F92" t="inlineStr">
        <is>
          <t>VÄRMLANDS LÄN</t>
        </is>
      </c>
      <c r="G92" t="inlineStr">
        <is>
          <t>KIL</t>
        </is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15472-2025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45747</v>
      </c>
      <c r="E93" s="1" t="n">
        <v>46323</v>
      </c>
      <c r="F93" t="inlineStr">
        <is>
          <t>VÄRMLANDS LÄN</t>
        </is>
      </c>
      <c r="G93" t="inlineStr">
        <is>
          <t>KIL</t>
        </is>
      </c>
      <c r="I93" t="n">
        <v>2.4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2990-2022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44581</v>
      </c>
      <c r="E94" s="1" t="n">
        <v>46323</v>
      </c>
      <c r="F94" t="inlineStr">
        <is>
          <t>VÄRMLANDS LÄN</t>
        </is>
      </c>
      <c r="G94" t="inlineStr">
        <is>
          <t>KIL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2994-2022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44581</v>
      </c>
      <c r="E95" s="1" t="n">
        <v>46323</v>
      </c>
      <c r="F95" t="inlineStr">
        <is>
          <t>VÄRMLANDS LÄN</t>
        </is>
      </c>
      <c r="G95" t="inlineStr">
        <is>
          <t>KIL</t>
        </is>
      </c>
      <c r="I95" t="n">
        <v>1.1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37622-2024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45541</v>
      </c>
      <c r="E96" s="1" t="n">
        <v>46323</v>
      </c>
      <c r="F96" t="inlineStr">
        <is>
          <t>VÄRMLANDS LÄN</t>
        </is>
      </c>
      <c r="G96" t="inlineStr">
        <is>
          <t>KIL</t>
        </is>
      </c>
      <c r="I96" t="n">
        <v>0.4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242-2024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45294</v>
      </c>
      <c r="E97" s="1" t="n">
        <v>46323</v>
      </c>
      <c r="F97" t="inlineStr">
        <is>
          <t>VÄRMLANDS LÄN</t>
        </is>
      </c>
      <c r="G97" t="inlineStr">
        <is>
          <t>KIL</t>
        </is>
      </c>
      <c r="H97" t="inlineStr">
        <is>
          <t>Kyrkan</t>
        </is>
      </c>
      <c r="I97" t="n">
        <v>8.5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249-2022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44565</v>
      </c>
      <c r="E98" s="1" t="n">
        <v>46323</v>
      </c>
      <c r="F98" t="inlineStr">
        <is>
          <t>VÄRMLANDS LÄN</t>
        </is>
      </c>
      <c r="G98" t="inlineStr">
        <is>
          <t>KIL</t>
        </is>
      </c>
      <c r="I98" t="n">
        <v>5.5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39055-2024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45548</v>
      </c>
      <c r="E99" s="1" t="n">
        <v>46323</v>
      </c>
      <c r="F99" t="inlineStr">
        <is>
          <t>VÄRMLANDS LÄN</t>
        </is>
      </c>
      <c r="G99" t="inlineStr">
        <is>
          <t>KIL</t>
        </is>
      </c>
      <c r="H99" t="inlineStr">
        <is>
          <t>Kyrkan</t>
        </is>
      </c>
      <c r="I99" t="n">
        <v>1.1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52438-2022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44874</v>
      </c>
      <c r="E100" s="1" t="n">
        <v>46323</v>
      </c>
      <c r="F100" t="inlineStr">
        <is>
          <t>VÄRMLANDS LÄN</t>
        </is>
      </c>
      <c r="G100" t="inlineStr">
        <is>
          <t>KIL</t>
        </is>
      </c>
      <c r="I100" t="n">
        <v>2.6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35611-2024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45531</v>
      </c>
      <c r="E101" s="1" t="n">
        <v>46323</v>
      </c>
      <c r="F101" t="inlineStr">
        <is>
          <t>VÄRMLANDS LÄN</t>
        </is>
      </c>
      <c r="G101" t="inlineStr">
        <is>
          <t>KIL</t>
        </is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47798-2025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45931</v>
      </c>
      <c r="E102" s="1" t="n">
        <v>46323</v>
      </c>
      <c r="F102" t="inlineStr">
        <is>
          <t>VÄRMLANDS LÄN</t>
        </is>
      </c>
      <c r="G102" t="inlineStr">
        <is>
          <t>KIL</t>
        </is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47804-2025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45931</v>
      </c>
      <c r="E103" s="1" t="n">
        <v>46323</v>
      </c>
      <c r="F103" t="inlineStr">
        <is>
          <t>VÄRMLANDS LÄN</t>
        </is>
      </c>
      <c r="G103" t="inlineStr">
        <is>
          <t>KIL</t>
        </is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47801-2025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45931</v>
      </c>
      <c r="E104" s="1" t="n">
        <v>46323</v>
      </c>
      <c r="F104" t="inlineStr">
        <is>
          <t>VÄRMLANDS LÄN</t>
        </is>
      </c>
      <c r="G104" t="inlineStr">
        <is>
          <t>KIL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20745-2024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45436</v>
      </c>
      <c r="E105" s="1" t="n">
        <v>46323</v>
      </c>
      <c r="F105" t="inlineStr">
        <is>
          <t>VÄRMLANDS LÄN</t>
        </is>
      </c>
      <c r="G105" t="inlineStr">
        <is>
          <t>KIL</t>
        </is>
      </c>
      <c r="I105" t="n">
        <v>1.8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47784-2025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45931</v>
      </c>
      <c r="E106" s="1" t="n">
        <v>46323</v>
      </c>
      <c r="F106" t="inlineStr">
        <is>
          <t>VÄRMLANDS LÄN</t>
        </is>
      </c>
      <c r="G106" t="inlineStr">
        <is>
          <t>KIL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47722-2025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45931</v>
      </c>
      <c r="E107" s="1" t="n">
        <v>46323</v>
      </c>
      <c r="F107" t="inlineStr">
        <is>
          <t>VÄRMLANDS LÄN</t>
        </is>
      </c>
      <c r="G107" t="inlineStr">
        <is>
          <t>KIL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47704-2025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45931</v>
      </c>
      <c r="E108" s="1" t="n">
        <v>46323</v>
      </c>
      <c r="F108" t="inlineStr">
        <is>
          <t>VÄRMLANDS LÄN</t>
        </is>
      </c>
      <c r="G108" t="inlineStr">
        <is>
          <t>KIL</t>
        </is>
      </c>
      <c r="I108" t="n">
        <v>0.5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14143-2024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45392</v>
      </c>
      <c r="E109" s="1" t="n">
        <v>46323</v>
      </c>
      <c r="F109" t="inlineStr">
        <is>
          <t>VÄRMLANDS LÄN</t>
        </is>
      </c>
      <c r="G109" t="inlineStr">
        <is>
          <t>KIL</t>
        </is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47786-2025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45931</v>
      </c>
      <c r="E110" s="1" t="n">
        <v>46323</v>
      </c>
      <c r="F110" t="inlineStr">
        <is>
          <t>VÄRMLANDS LÄN</t>
        </is>
      </c>
      <c r="G110" t="inlineStr">
        <is>
          <t>KIL</t>
        </is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17806-2023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45037</v>
      </c>
      <c r="E111" s="1" t="n">
        <v>46323</v>
      </c>
      <c r="F111" t="inlineStr">
        <is>
          <t>VÄRMLANDS LÄN</t>
        </is>
      </c>
      <c r="G111" t="inlineStr">
        <is>
          <t>KIL</t>
        </is>
      </c>
      <c r="I111" t="n">
        <v>0.7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48427-2025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45934</v>
      </c>
      <c r="E112" s="1" t="n">
        <v>46323</v>
      </c>
      <c r="F112" t="inlineStr">
        <is>
          <t>VÄRMLANDS LÄN</t>
        </is>
      </c>
      <c r="G112" t="inlineStr">
        <is>
          <t>KIL</t>
        </is>
      </c>
      <c r="I112" t="n">
        <v>3.5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29615-2022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44754</v>
      </c>
      <c r="E113" s="1" t="n">
        <v>46323</v>
      </c>
      <c r="F113" t="inlineStr">
        <is>
          <t>VÄRMLANDS LÄN</t>
        </is>
      </c>
      <c r="G113" t="inlineStr">
        <is>
          <t>KIL</t>
        </is>
      </c>
      <c r="H113" t="inlineStr">
        <is>
          <t>Kyrkan</t>
        </is>
      </c>
      <c r="I113" t="n">
        <v>3.9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59944-2024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45642</v>
      </c>
      <c r="E114" s="1" t="n">
        <v>46323</v>
      </c>
      <c r="F114" t="inlineStr">
        <is>
          <t>VÄRMLANDS LÄN</t>
        </is>
      </c>
      <c r="G114" t="inlineStr">
        <is>
          <t>KIL</t>
        </is>
      </c>
      <c r="I114" t="n">
        <v>1.2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22798-2024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45448</v>
      </c>
      <c r="E115" s="1" t="n">
        <v>46323</v>
      </c>
      <c r="F115" t="inlineStr">
        <is>
          <t>VÄRMLANDS LÄN</t>
        </is>
      </c>
      <c r="G115" t="inlineStr">
        <is>
          <t>KIL</t>
        </is>
      </c>
      <c r="H115" t="inlineStr">
        <is>
          <t>Kyrkan</t>
        </is>
      </c>
      <c r="I115" t="n">
        <v>5.9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59503-2022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44907</v>
      </c>
      <c r="E116" s="1" t="n">
        <v>46323</v>
      </c>
      <c r="F116" t="inlineStr">
        <is>
          <t>VÄRMLANDS LÄN</t>
        </is>
      </c>
      <c r="G116" t="inlineStr">
        <is>
          <t>KIL</t>
        </is>
      </c>
      <c r="I116" t="n">
        <v>0.7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30599-2023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45112</v>
      </c>
      <c r="E117" s="1" t="n">
        <v>46323</v>
      </c>
      <c r="F117" t="inlineStr">
        <is>
          <t>VÄRMLANDS LÄN</t>
        </is>
      </c>
      <c r="G117" t="inlineStr">
        <is>
          <t>KIL</t>
        </is>
      </c>
      <c r="I117" t="n">
        <v>10.1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64518-2021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44511</v>
      </c>
      <c r="E118" s="1" t="n">
        <v>46323</v>
      </c>
      <c r="F118" t="inlineStr">
        <is>
          <t>VÄRMLANDS LÄN</t>
        </is>
      </c>
      <c r="G118" t="inlineStr">
        <is>
          <t>KIL</t>
        </is>
      </c>
      <c r="I118" t="n">
        <v>2.1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666-2023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44930</v>
      </c>
      <c r="E119" s="1" t="n">
        <v>46323</v>
      </c>
      <c r="F119" t="inlineStr">
        <is>
          <t>VÄRMLANDS LÄN</t>
        </is>
      </c>
      <c r="G119" t="inlineStr">
        <is>
          <t>KIL</t>
        </is>
      </c>
      <c r="I119" t="n">
        <v>8.199999999999999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3996-2022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44587</v>
      </c>
      <c r="E120" s="1" t="n">
        <v>46323</v>
      </c>
      <c r="F120" t="inlineStr">
        <is>
          <t>VÄRMLANDS LÄN</t>
        </is>
      </c>
      <c r="G120" t="inlineStr">
        <is>
          <t>KIL</t>
        </is>
      </c>
      <c r="I120" t="n">
        <v>3.1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64193-2021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44510</v>
      </c>
      <c r="E121" s="1" t="n">
        <v>46323</v>
      </c>
      <c r="F121" t="inlineStr">
        <is>
          <t>VÄRMLANDS LÄN</t>
        </is>
      </c>
      <c r="G121" t="inlineStr">
        <is>
          <t>KIL</t>
        </is>
      </c>
      <c r="I121" t="n">
        <v>1.9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20476-2024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45435</v>
      </c>
      <c r="E122" s="1" t="n">
        <v>46323</v>
      </c>
      <c r="F122" t="inlineStr">
        <is>
          <t>VÄRMLANDS LÄN</t>
        </is>
      </c>
      <c r="G122" t="inlineStr">
        <is>
          <t>KIL</t>
        </is>
      </c>
      <c r="I122" t="n">
        <v>0.8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52621-2025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45953</v>
      </c>
      <c r="E123" s="1" t="n">
        <v>46323</v>
      </c>
      <c r="F123" t="inlineStr">
        <is>
          <t>VÄRMLANDS LÄN</t>
        </is>
      </c>
      <c r="G123" t="inlineStr">
        <is>
          <t>KIL</t>
        </is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52622-2025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45953</v>
      </c>
      <c r="E124" s="1" t="n">
        <v>46323</v>
      </c>
      <c r="F124" t="inlineStr">
        <is>
          <t>VÄRMLANDS LÄN</t>
        </is>
      </c>
      <c r="G124" t="inlineStr">
        <is>
          <t>KIL</t>
        </is>
      </c>
      <c r="I124" t="n">
        <v>2.5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38760-2023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45163</v>
      </c>
      <c r="E125" s="1" t="n">
        <v>46323</v>
      </c>
      <c r="F125" t="inlineStr">
        <is>
          <t>VÄRMLANDS LÄN</t>
        </is>
      </c>
      <c r="G125" t="inlineStr">
        <is>
          <t>KIL</t>
        </is>
      </c>
      <c r="I125" t="n">
        <v>0.6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52697-2025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45956</v>
      </c>
      <c r="E126" s="1" t="n">
        <v>46323</v>
      </c>
      <c r="F126" t="inlineStr">
        <is>
          <t>VÄRMLANDS LÄN</t>
        </is>
      </c>
      <c r="G126" t="inlineStr">
        <is>
          <t>KIL</t>
        </is>
      </c>
      <c r="I126" t="n">
        <v>0.8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22008-2025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45784</v>
      </c>
      <c r="E127" s="1" t="n">
        <v>46323</v>
      </c>
      <c r="F127" t="inlineStr">
        <is>
          <t>VÄRMLANDS LÄN</t>
        </is>
      </c>
      <c r="G127" t="inlineStr">
        <is>
          <t>KIL</t>
        </is>
      </c>
      <c r="I127" t="n">
        <v>1.4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25409-2024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45463</v>
      </c>
      <c r="E128" s="1" t="n">
        <v>46323</v>
      </c>
      <c r="F128" t="inlineStr">
        <is>
          <t>VÄRMLANDS LÄN</t>
        </is>
      </c>
      <c r="G128" t="inlineStr">
        <is>
          <t>KIL</t>
        </is>
      </c>
      <c r="H128" t="inlineStr">
        <is>
          <t>Kyrkan</t>
        </is>
      </c>
      <c r="I128" t="n">
        <v>1.7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14651-2024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45397</v>
      </c>
      <c r="E129" s="1" t="n">
        <v>46323</v>
      </c>
      <c r="F129" t="inlineStr">
        <is>
          <t>VÄRMLANDS LÄN</t>
        </is>
      </c>
      <c r="G129" t="inlineStr">
        <is>
          <t>KIL</t>
        </is>
      </c>
      <c r="I129" t="n">
        <v>3.9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57483-2022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44896</v>
      </c>
      <c r="E130" s="1" t="n">
        <v>46323</v>
      </c>
      <c r="F130" t="inlineStr">
        <is>
          <t>VÄRMLANDS LÄN</t>
        </is>
      </c>
      <c r="G130" t="inlineStr">
        <is>
          <t>KIL</t>
        </is>
      </c>
      <c r="H130" t="inlineStr">
        <is>
          <t>Bergvik skog väst AB</t>
        </is>
      </c>
      <c r="I130" t="n">
        <v>1.6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36971-2024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45538</v>
      </c>
      <c r="E131" s="1" t="n">
        <v>46323</v>
      </c>
      <c r="F131" t="inlineStr">
        <is>
          <t>VÄRMLANDS LÄN</t>
        </is>
      </c>
      <c r="G131" t="inlineStr">
        <is>
          <t>KIL</t>
        </is>
      </c>
      <c r="I131" t="n">
        <v>17.9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53841-2025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45961</v>
      </c>
      <c r="E132" s="1" t="n">
        <v>46323</v>
      </c>
      <c r="F132" t="inlineStr">
        <is>
          <t>VÄRMLANDS LÄN</t>
        </is>
      </c>
      <c r="G132" t="inlineStr">
        <is>
          <t>KIL</t>
        </is>
      </c>
      <c r="I132" t="n">
        <v>0.7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10910-2023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44991</v>
      </c>
      <c r="E133" s="1" t="n">
        <v>46323</v>
      </c>
      <c r="F133" t="inlineStr">
        <is>
          <t>VÄRMLANDS LÄN</t>
        </is>
      </c>
      <c r="G133" t="inlineStr">
        <is>
          <t>KIL</t>
        </is>
      </c>
      <c r="I133" t="n">
        <v>1.6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53839-2025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45961</v>
      </c>
      <c r="E134" s="1" t="n">
        <v>46323</v>
      </c>
      <c r="F134" t="inlineStr">
        <is>
          <t>VÄRMLANDS LÄN</t>
        </is>
      </c>
      <c r="G134" t="inlineStr">
        <is>
          <t>KIL</t>
        </is>
      </c>
      <c r="I134" t="n">
        <v>1.9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54593-2025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45965</v>
      </c>
      <c r="E135" s="1" t="n">
        <v>46323</v>
      </c>
      <c r="F135" t="inlineStr">
        <is>
          <t>VÄRMLANDS LÄN</t>
        </is>
      </c>
      <c r="G135" t="inlineStr">
        <is>
          <t>KIL</t>
        </is>
      </c>
      <c r="I135" t="n">
        <v>2.5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35084-2024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45527</v>
      </c>
      <c r="E136" s="1" t="n">
        <v>46323</v>
      </c>
      <c r="F136" t="inlineStr">
        <is>
          <t>VÄRMLANDS LÄN</t>
        </is>
      </c>
      <c r="G136" t="inlineStr">
        <is>
          <t>KIL</t>
        </is>
      </c>
      <c r="I136" t="n">
        <v>2.6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37620-2024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45541</v>
      </c>
      <c r="E137" s="1" t="n">
        <v>46323</v>
      </c>
      <c r="F137" t="inlineStr">
        <is>
          <t>VÄRMLANDS LÄN</t>
        </is>
      </c>
      <c r="G137" t="inlineStr">
        <is>
          <t>KIL</t>
        </is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15721-2024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45404</v>
      </c>
      <c r="E138" s="1" t="n">
        <v>46323</v>
      </c>
      <c r="F138" t="inlineStr">
        <is>
          <t>VÄRMLANDS LÄN</t>
        </is>
      </c>
      <c r="G138" t="inlineStr">
        <is>
          <t>KIL</t>
        </is>
      </c>
      <c r="I138" t="n">
        <v>3.5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44660-2024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45574</v>
      </c>
      <c r="E139" s="1" t="n">
        <v>46323</v>
      </c>
      <c r="F139" t="inlineStr">
        <is>
          <t>VÄRMLANDS LÄN</t>
        </is>
      </c>
      <c r="G139" t="inlineStr">
        <is>
          <t>KIL</t>
        </is>
      </c>
      <c r="I139" t="n">
        <v>3.5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44666-2024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45574</v>
      </c>
      <c r="E140" s="1" t="n">
        <v>46323</v>
      </c>
      <c r="F140" t="inlineStr">
        <is>
          <t>VÄRMLANDS LÄN</t>
        </is>
      </c>
      <c r="G140" t="inlineStr">
        <is>
          <t>KIL</t>
        </is>
      </c>
      <c r="I140" t="n">
        <v>1.6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2708-2023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44942</v>
      </c>
      <c r="E141" s="1" t="n">
        <v>46323</v>
      </c>
      <c r="F141" t="inlineStr">
        <is>
          <t>VÄRMLANDS LÄN</t>
        </is>
      </c>
      <c r="G141" t="inlineStr">
        <is>
          <t>KIL</t>
        </is>
      </c>
      <c r="I141" t="n">
        <v>0.6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10634-2024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45367</v>
      </c>
      <c r="E142" s="1" t="n">
        <v>46323</v>
      </c>
      <c r="F142" t="inlineStr">
        <is>
          <t>VÄRMLANDS LÄN</t>
        </is>
      </c>
      <c r="G142" t="inlineStr">
        <is>
          <t>KIL</t>
        </is>
      </c>
      <c r="I142" t="n">
        <v>1.6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39039-2024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45548</v>
      </c>
      <c r="E143" s="1" t="n">
        <v>46323</v>
      </c>
      <c r="F143" t="inlineStr">
        <is>
          <t>VÄRMLANDS LÄN</t>
        </is>
      </c>
      <c r="G143" t="inlineStr">
        <is>
          <t>KIL</t>
        </is>
      </c>
      <c r="H143" t="inlineStr">
        <is>
          <t>Kyrkan</t>
        </is>
      </c>
      <c r="I143" t="n">
        <v>2.8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46445-2024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45582</v>
      </c>
      <c r="E144" s="1" t="n">
        <v>46323</v>
      </c>
      <c r="F144" t="inlineStr">
        <is>
          <t>VÄRMLANDS LÄN</t>
        </is>
      </c>
      <c r="G144" t="inlineStr">
        <is>
          <t>KIL</t>
        </is>
      </c>
      <c r="I144" t="n">
        <v>0.6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12272-2024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45378</v>
      </c>
      <c r="E145" s="1" t="n">
        <v>46323</v>
      </c>
      <c r="F145" t="inlineStr">
        <is>
          <t>VÄRMLANDS LÄN</t>
        </is>
      </c>
      <c r="G145" t="inlineStr">
        <is>
          <t>KIL</t>
        </is>
      </c>
      <c r="I145" t="n">
        <v>0.6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12281-2024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45378</v>
      </c>
      <c r="E146" s="1" t="n">
        <v>46323</v>
      </c>
      <c r="F146" t="inlineStr">
        <is>
          <t>VÄRMLANDS LÄN</t>
        </is>
      </c>
      <c r="G146" t="inlineStr">
        <is>
          <t>KIL</t>
        </is>
      </c>
      <c r="I146" t="n">
        <v>0.7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7586-2025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45705</v>
      </c>
      <c r="E147" s="1" t="n">
        <v>46323</v>
      </c>
      <c r="F147" t="inlineStr">
        <is>
          <t>VÄRMLANDS LÄN</t>
        </is>
      </c>
      <c r="G147" t="inlineStr">
        <is>
          <t>KIL</t>
        </is>
      </c>
      <c r="I147" t="n">
        <v>0.7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25435-2024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45463</v>
      </c>
      <c r="E148" s="1" t="n">
        <v>46323</v>
      </c>
      <c r="F148" t="inlineStr">
        <is>
          <t>VÄRMLANDS LÄN</t>
        </is>
      </c>
      <c r="G148" t="inlineStr">
        <is>
          <t>KIL</t>
        </is>
      </c>
      <c r="H148" t="inlineStr">
        <is>
          <t>Kyrkan</t>
        </is>
      </c>
      <c r="I148" t="n">
        <v>2.3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57011-2025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45978</v>
      </c>
      <c r="E149" s="1" t="n">
        <v>46323</v>
      </c>
      <c r="F149" t="inlineStr">
        <is>
          <t>VÄRMLANDS LÄN</t>
        </is>
      </c>
      <c r="G149" t="inlineStr">
        <is>
          <t>KIL</t>
        </is>
      </c>
      <c r="H149" t="inlineStr">
        <is>
          <t>Kommuner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14954-2024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45398</v>
      </c>
      <c r="E150" s="1" t="n">
        <v>46323</v>
      </c>
      <c r="F150" t="inlineStr">
        <is>
          <t>VÄRMLANDS LÄN</t>
        </is>
      </c>
      <c r="G150" t="inlineStr">
        <is>
          <t>KIL</t>
        </is>
      </c>
      <c r="I150" t="n">
        <v>3.7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61436-2025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46001</v>
      </c>
      <c r="E151" s="1" t="n">
        <v>46323</v>
      </c>
      <c r="F151" t="inlineStr">
        <is>
          <t>VÄRMLANDS LÄN</t>
        </is>
      </c>
      <c r="G151" t="inlineStr">
        <is>
          <t>KIL</t>
        </is>
      </c>
      <c r="I151" t="n">
        <v>3.8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65002-2023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45287</v>
      </c>
      <c r="E152" s="1" t="n">
        <v>46323</v>
      </c>
      <c r="F152" t="inlineStr">
        <is>
          <t>VÄRMLANDS LÄN</t>
        </is>
      </c>
      <c r="G152" t="inlineStr">
        <is>
          <t>KIL</t>
        </is>
      </c>
      <c r="I152" t="n">
        <v>6.9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11929-2023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44995</v>
      </c>
      <c r="E153" s="1" t="n">
        <v>46323</v>
      </c>
      <c r="F153" t="inlineStr">
        <is>
          <t>VÄRMLANDS LÄN</t>
        </is>
      </c>
      <c r="G153" t="inlineStr">
        <is>
          <t>KIL</t>
        </is>
      </c>
      <c r="I153" t="n">
        <v>2.5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56957-2025</t>
        </is>
      </c>
      <c r="B154" t="inlineStr">
        <is>
          <t>avverkningsanmälan</t>
        </is>
      </c>
      <c r="C154" t="inlineStr">
        <is>
          <t>Avverkning för annat ändamål</t>
        </is>
      </c>
      <c r="D154" s="1" t="n">
        <v>45978</v>
      </c>
      <c r="E154" s="1" t="n">
        <v>46323</v>
      </c>
      <c r="F154" t="inlineStr">
        <is>
          <t>VÄRMLANDS LÄN</t>
        </is>
      </c>
      <c r="G154" t="inlineStr">
        <is>
          <t>KIL</t>
        </is>
      </c>
      <c r="H154" t="inlineStr">
        <is>
          <t>Kommuner</t>
        </is>
      </c>
      <c r="I154" t="n">
        <v>0.9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14732-2022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44655</v>
      </c>
      <c r="E155" s="1" t="n">
        <v>46323</v>
      </c>
      <c r="F155" t="inlineStr">
        <is>
          <t>VÄRMLANDS LÄN</t>
        </is>
      </c>
      <c r="G155" t="inlineStr">
        <is>
          <t>KIL</t>
        </is>
      </c>
      <c r="I155" t="n">
        <v>3.3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8911-2025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45713</v>
      </c>
      <c r="E156" s="1" t="n">
        <v>46323</v>
      </c>
      <c r="F156" t="inlineStr">
        <is>
          <t>VÄRMLANDS LÄN</t>
        </is>
      </c>
      <c r="G156" t="inlineStr">
        <is>
          <t>KIL</t>
        </is>
      </c>
      <c r="I156" t="n">
        <v>2.4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18049-2024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45420</v>
      </c>
      <c r="E157" s="1" t="n">
        <v>46323</v>
      </c>
      <c r="F157" t="inlineStr">
        <is>
          <t>VÄRMLANDS LÄN</t>
        </is>
      </c>
      <c r="G157" t="inlineStr">
        <is>
          <t>KIL</t>
        </is>
      </c>
      <c r="I157" t="n">
        <v>0.5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57220-2024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45629</v>
      </c>
      <c r="E158" s="1" t="n">
        <v>46323</v>
      </c>
      <c r="F158" t="inlineStr">
        <is>
          <t>VÄRMLANDS LÄN</t>
        </is>
      </c>
      <c r="G158" t="inlineStr">
        <is>
          <t>KIL</t>
        </is>
      </c>
      <c r="I158" t="n">
        <v>5.5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29698-2024</t>
        </is>
      </c>
      <c r="B159" t="inlineStr">
        <is>
          <t>avverkningsanmälan</t>
        </is>
      </c>
      <c r="C159" t="inlineStr">
        <is>
          <t>Avverkning för annat ändamål</t>
        </is>
      </c>
      <c r="D159" s="1" t="n">
        <v>45484</v>
      </c>
      <c r="E159" s="1" t="n">
        <v>46323</v>
      </c>
      <c r="F159" t="inlineStr">
        <is>
          <t>VÄRMLANDS LÄN</t>
        </is>
      </c>
      <c r="G159" t="inlineStr">
        <is>
          <t>KIL</t>
        </is>
      </c>
      <c r="I159" t="n">
        <v>0.4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63811-2025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46020</v>
      </c>
      <c r="E160" s="1" t="n">
        <v>46323</v>
      </c>
      <c r="F160" t="inlineStr">
        <is>
          <t>VÄRMLANDS LÄN</t>
        </is>
      </c>
      <c r="G160" t="inlineStr">
        <is>
          <t>KIL</t>
        </is>
      </c>
      <c r="I160" t="n">
        <v>2.6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71728-2021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44543</v>
      </c>
      <c r="E161" s="1" t="n">
        <v>46323</v>
      </c>
      <c r="F161" t="inlineStr">
        <is>
          <t>VÄRMLANDS LÄN</t>
        </is>
      </c>
      <c r="G161" t="inlineStr">
        <is>
          <t>KIL</t>
        </is>
      </c>
      <c r="I161" t="n">
        <v>1.1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45672-2024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45579</v>
      </c>
      <c r="E162" s="1" t="n">
        <v>46323</v>
      </c>
      <c r="F162" t="inlineStr">
        <is>
          <t>VÄRMLANDS LÄN</t>
        </is>
      </c>
      <c r="G162" t="inlineStr">
        <is>
          <t>KIL</t>
        </is>
      </c>
      <c r="I162" t="n">
        <v>1.1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31032-2024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45501</v>
      </c>
      <c r="E163" s="1" t="n">
        <v>46323</v>
      </c>
      <c r="F163" t="inlineStr">
        <is>
          <t>VÄRMLANDS LÄN</t>
        </is>
      </c>
      <c r="G163" t="inlineStr">
        <is>
          <t>KIL</t>
        </is>
      </c>
      <c r="I163" t="n">
        <v>1.9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31033-2024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45501</v>
      </c>
      <c r="E164" s="1" t="n">
        <v>46323</v>
      </c>
      <c r="F164" t="inlineStr">
        <is>
          <t>VÄRMLANDS LÄN</t>
        </is>
      </c>
      <c r="G164" t="inlineStr">
        <is>
          <t>KIL</t>
        </is>
      </c>
      <c r="I164" t="n">
        <v>1.9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50461-2024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45601</v>
      </c>
      <c r="E165" s="1" t="n">
        <v>46323</v>
      </c>
      <c r="F165" t="inlineStr">
        <is>
          <t>VÄRMLANDS LÄN</t>
        </is>
      </c>
      <c r="G165" t="inlineStr">
        <is>
          <t>KIL</t>
        </is>
      </c>
      <c r="I165" t="n">
        <v>1.6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18948-2024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45427</v>
      </c>
      <c r="E166" s="1" t="n">
        <v>46323</v>
      </c>
      <c r="F166" t="inlineStr">
        <is>
          <t>VÄRMLANDS LÄN</t>
        </is>
      </c>
      <c r="G166" t="inlineStr">
        <is>
          <t>KIL</t>
        </is>
      </c>
      <c r="I166" t="n">
        <v>1.5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49604-2023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45207</v>
      </c>
      <c r="E167" s="1" t="n">
        <v>46323</v>
      </c>
      <c r="F167" t="inlineStr">
        <is>
          <t>VÄRMLANDS LÄN</t>
        </is>
      </c>
      <c r="G167" t="inlineStr">
        <is>
          <t>KIL</t>
        </is>
      </c>
      <c r="I167" t="n">
        <v>0.8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59938-2024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45642</v>
      </c>
      <c r="E168" s="1" t="n">
        <v>46323</v>
      </c>
      <c r="F168" t="inlineStr">
        <is>
          <t>VÄRMLANDS LÄN</t>
        </is>
      </c>
      <c r="G168" t="inlineStr">
        <is>
          <t>KIL</t>
        </is>
      </c>
      <c r="I168" t="n">
        <v>0.9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969-2022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44571</v>
      </c>
      <c r="E169" s="1" t="n">
        <v>46323</v>
      </c>
      <c r="F169" t="inlineStr">
        <is>
          <t>VÄRMLANDS LÄN</t>
        </is>
      </c>
      <c r="G169" t="inlineStr">
        <is>
          <t>KIL</t>
        </is>
      </c>
      <c r="I169" t="n">
        <v>7.1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3174-2026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46041</v>
      </c>
      <c r="E170" s="1" t="n">
        <v>46323</v>
      </c>
      <c r="F170" t="inlineStr">
        <is>
          <t>VÄRMLANDS LÄN</t>
        </is>
      </c>
      <c r="G170" t="inlineStr">
        <is>
          <t>KIL</t>
        </is>
      </c>
      <c r="I170" t="n">
        <v>2.2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7368-2025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45704</v>
      </c>
      <c r="E171" s="1" t="n">
        <v>46323</v>
      </c>
      <c r="F171" t="inlineStr">
        <is>
          <t>VÄRMLANDS LÄN</t>
        </is>
      </c>
      <c r="G171" t="inlineStr">
        <is>
          <t>KIL</t>
        </is>
      </c>
      <c r="I171" t="n">
        <v>1.5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23786-2022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44722</v>
      </c>
      <c r="E172" s="1" t="n">
        <v>46323</v>
      </c>
      <c r="F172" t="inlineStr">
        <is>
          <t>VÄRMLANDS LÄN</t>
        </is>
      </c>
      <c r="G172" t="inlineStr">
        <is>
          <t>KIL</t>
        </is>
      </c>
      <c r="I172" t="n">
        <v>7.3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21032-2023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45061</v>
      </c>
      <c r="E173" s="1" t="n">
        <v>46323</v>
      </c>
      <c r="F173" t="inlineStr">
        <is>
          <t>VÄRMLANDS LÄN</t>
        </is>
      </c>
      <c r="G173" t="inlineStr">
        <is>
          <t>KIL</t>
        </is>
      </c>
      <c r="I173" t="n">
        <v>1.3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55306-2024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45621</v>
      </c>
      <c r="E174" s="1" t="n">
        <v>46323</v>
      </c>
      <c r="F174" t="inlineStr">
        <is>
          <t>VÄRMLANDS LÄN</t>
        </is>
      </c>
      <c r="G174" t="inlineStr">
        <is>
          <t>KIL</t>
        </is>
      </c>
      <c r="I174" t="n">
        <v>0.8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26270-2022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44735</v>
      </c>
      <c r="E175" s="1" t="n">
        <v>46323</v>
      </c>
      <c r="F175" t="inlineStr">
        <is>
          <t>VÄRMLANDS LÄN</t>
        </is>
      </c>
      <c r="G175" t="inlineStr">
        <is>
          <t>KIL</t>
        </is>
      </c>
      <c r="I175" t="n">
        <v>2.2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45599-2023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45194</v>
      </c>
      <c r="E176" s="1" t="n">
        <v>46323</v>
      </c>
      <c r="F176" t="inlineStr">
        <is>
          <t>VÄRMLANDS LÄN</t>
        </is>
      </c>
      <c r="G176" t="inlineStr">
        <is>
          <t>KIL</t>
        </is>
      </c>
      <c r="I176" t="n">
        <v>3.4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57386-2024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45629</v>
      </c>
      <c r="E177" s="1" t="n">
        <v>46323</v>
      </c>
      <c r="F177" t="inlineStr">
        <is>
          <t>VÄRMLANDS LÄN</t>
        </is>
      </c>
      <c r="G177" t="inlineStr">
        <is>
          <t>KIL</t>
        </is>
      </c>
      <c r="I177" t="n">
        <v>7.4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11558-2025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45727</v>
      </c>
      <c r="E178" s="1" t="n">
        <v>46323</v>
      </c>
      <c r="F178" t="inlineStr">
        <is>
          <t>VÄRMLANDS LÄN</t>
        </is>
      </c>
      <c r="G178" t="inlineStr">
        <is>
          <t>KIL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60201-2024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45642</v>
      </c>
      <c r="E179" s="1" t="n">
        <v>46323</v>
      </c>
      <c r="F179" t="inlineStr">
        <is>
          <t>VÄRMLANDS LÄN</t>
        </is>
      </c>
      <c r="G179" t="inlineStr">
        <is>
          <t>KIL</t>
        </is>
      </c>
      <c r="I179" t="n">
        <v>1.8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65007-2023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45287</v>
      </c>
      <c r="E180" s="1" t="n">
        <v>46323</v>
      </c>
      <c r="F180" t="inlineStr">
        <is>
          <t>VÄRMLANDS LÄN</t>
        </is>
      </c>
      <c r="G180" t="inlineStr">
        <is>
          <t>KIL</t>
        </is>
      </c>
      <c r="I180" t="n">
        <v>14.2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38499-2026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46282</v>
      </c>
      <c r="E181" s="1" t="n">
        <v>46323</v>
      </c>
      <c r="F181" t="inlineStr">
        <is>
          <t>VÄRMLANDS LÄN</t>
        </is>
      </c>
      <c r="G181" t="inlineStr">
        <is>
          <t>KIL</t>
        </is>
      </c>
      <c r="I181" t="n">
        <v>1.1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38494-2026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46282</v>
      </c>
      <c r="E182" s="1" t="n">
        <v>46323</v>
      </c>
      <c r="F182" t="inlineStr">
        <is>
          <t>VÄRMLANDS LÄN</t>
        </is>
      </c>
      <c r="G182" t="inlineStr">
        <is>
          <t>KIL</t>
        </is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38489-2026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46282</v>
      </c>
      <c r="E183" s="1" t="n">
        <v>46323</v>
      </c>
      <c r="F183" t="inlineStr">
        <is>
          <t>VÄRMLANDS LÄN</t>
        </is>
      </c>
      <c r="G183" t="inlineStr">
        <is>
          <t>KIL</t>
        </is>
      </c>
      <c r="I183" t="n">
        <v>1.3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64140-2023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45279</v>
      </c>
      <c r="E184" s="1" t="n">
        <v>46323</v>
      </c>
      <c r="F184" t="inlineStr">
        <is>
          <t>VÄRMLANDS LÄN</t>
        </is>
      </c>
      <c r="G184" t="inlineStr">
        <is>
          <t>KIL</t>
        </is>
      </c>
      <c r="I184" t="n">
        <v>1.4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28195-2022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44746</v>
      </c>
      <c r="E185" s="1" t="n">
        <v>46323</v>
      </c>
      <c r="F185" t="inlineStr">
        <is>
          <t>VÄRMLANDS LÄN</t>
        </is>
      </c>
      <c r="G185" t="inlineStr">
        <is>
          <t>KIL</t>
        </is>
      </c>
      <c r="H185" t="inlineStr">
        <is>
          <t>Bergvik skog väst AB</t>
        </is>
      </c>
      <c r="I185" t="n">
        <v>2.1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34408-2024</t>
        </is>
      </c>
      <c r="B186" t="inlineStr">
        <is>
          <t>avverkningsanmälan</t>
        </is>
      </c>
      <c r="C186" t="inlineStr">
        <is>
          <t>Avverkning för annat ändamål</t>
        </is>
      </c>
      <c r="D186" s="1" t="n">
        <v>45525</v>
      </c>
      <c r="E186" s="1" t="n">
        <v>46323</v>
      </c>
      <c r="F186" t="inlineStr">
        <is>
          <t>VÄRMLANDS LÄN</t>
        </is>
      </c>
      <c r="G186" t="inlineStr">
        <is>
          <t>KIL</t>
        </is>
      </c>
      <c r="I186" t="n">
        <v>0.4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12280-2024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45378</v>
      </c>
      <c r="E187" s="1" t="n">
        <v>46323</v>
      </c>
      <c r="F187" t="inlineStr">
        <is>
          <t>VÄRMLANDS LÄN</t>
        </is>
      </c>
      <c r="G187" t="inlineStr">
        <is>
          <t>KIL</t>
        </is>
      </c>
      <c r="I187" t="n">
        <v>0.3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38517-2026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46283</v>
      </c>
      <c r="E188" s="1" t="n">
        <v>46323</v>
      </c>
      <c r="F188" t="inlineStr">
        <is>
          <t>VÄRMLANDS LÄN</t>
        </is>
      </c>
      <c r="G188" t="inlineStr">
        <is>
          <t>KIL</t>
        </is>
      </c>
      <c r="H188" t="inlineStr">
        <is>
          <t>Kommuner</t>
        </is>
      </c>
      <c r="I188" t="n">
        <v>3.9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18117-2025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45761</v>
      </c>
      <c r="E189" s="1" t="n">
        <v>46323</v>
      </c>
      <c r="F189" t="inlineStr">
        <is>
          <t>VÄRMLANDS LÄN</t>
        </is>
      </c>
      <c r="G189" t="inlineStr">
        <is>
          <t>KIL</t>
        </is>
      </c>
      <c r="I189" t="n">
        <v>0.6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6687-2023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44966</v>
      </c>
      <c r="E190" s="1" t="n">
        <v>46323</v>
      </c>
      <c r="F190" t="inlineStr">
        <is>
          <t>VÄRMLANDS LÄN</t>
        </is>
      </c>
      <c r="G190" t="inlineStr">
        <is>
          <t>KIL</t>
        </is>
      </c>
      <c r="I190" t="n">
        <v>1.2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33037-2026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46245</v>
      </c>
      <c r="E191" s="1" t="n">
        <v>46323</v>
      </c>
      <c r="F191" t="inlineStr">
        <is>
          <t>VÄRMLANDS LÄN</t>
        </is>
      </c>
      <c r="G191" t="inlineStr">
        <is>
          <t>KIL</t>
        </is>
      </c>
      <c r="I191" t="n">
        <v>5.4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73251-2021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44550</v>
      </c>
      <c r="E192" s="1" t="n">
        <v>46323</v>
      </c>
      <c r="F192" t="inlineStr">
        <is>
          <t>VÄRMLANDS LÄN</t>
        </is>
      </c>
      <c r="G192" t="inlineStr">
        <is>
          <t>KIL</t>
        </is>
      </c>
      <c r="I192" t="n">
        <v>1.2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56641-2023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45243</v>
      </c>
      <c r="E193" s="1" t="n">
        <v>46323</v>
      </c>
      <c r="F193" t="inlineStr">
        <is>
          <t>VÄRMLANDS LÄN</t>
        </is>
      </c>
      <c r="G193" t="inlineStr">
        <is>
          <t>KIL</t>
        </is>
      </c>
      <c r="I193" t="n">
        <v>1.3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61229-2022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44915</v>
      </c>
      <c r="E194" s="1" t="n">
        <v>46323</v>
      </c>
      <c r="F194" t="inlineStr">
        <is>
          <t>VÄRMLANDS LÄN</t>
        </is>
      </c>
      <c r="G194" t="inlineStr">
        <is>
          <t>KIL</t>
        </is>
      </c>
      <c r="I194" t="n">
        <v>1.3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17635-2022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44680</v>
      </c>
      <c r="E195" s="1" t="n">
        <v>46323</v>
      </c>
      <c r="F195" t="inlineStr">
        <is>
          <t>VÄRMLANDS LÄN</t>
        </is>
      </c>
      <c r="G195" t="inlineStr">
        <is>
          <t>KIL</t>
        </is>
      </c>
      <c r="I195" t="n">
        <v>0.9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36296-2022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44803</v>
      </c>
      <c r="E196" s="1" t="n">
        <v>46323</v>
      </c>
      <c r="F196" t="inlineStr">
        <is>
          <t>VÄRMLANDS LÄN</t>
        </is>
      </c>
      <c r="G196" t="inlineStr">
        <is>
          <t>KIL</t>
        </is>
      </c>
      <c r="I196" t="n">
        <v>2.8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33233-2026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46246</v>
      </c>
      <c r="E197" s="1" t="n">
        <v>46323</v>
      </c>
      <c r="F197" t="inlineStr">
        <is>
          <t>VÄRMLANDS LÄN</t>
        </is>
      </c>
      <c r="G197" t="inlineStr">
        <is>
          <t>KIL</t>
        </is>
      </c>
      <c r="I197" t="n">
        <v>1.2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2077-2024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45309</v>
      </c>
      <c r="E198" s="1" t="n">
        <v>46323</v>
      </c>
      <c r="F198" t="inlineStr">
        <is>
          <t>VÄRMLANDS LÄN</t>
        </is>
      </c>
      <c r="G198" t="inlineStr">
        <is>
          <t>KIL</t>
        </is>
      </c>
      <c r="I198" t="n">
        <v>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61210-2023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45264</v>
      </c>
      <c r="E199" s="1" t="n">
        <v>46323</v>
      </c>
      <c r="F199" t="inlineStr">
        <is>
          <t>VÄRMLANDS LÄN</t>
        </is>
      </c>
      <c r="G199" t="inlineStr">
        <is>
          <t>KIL</t>
        </is>
      </c>
      <c r="I199" t="n">
        <v>7.7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33266-2026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46246</v>
      </c>
      <c r="E200" s="1" t="n">
        <v>46323</v>
      </c>
      <c r="F200" t="inlineStr">
        <is>
          <t>VÄRMLANDS LÄN</t>
        </is>
      </c>
      <c r="G200" t="inlineStr">
        <is>
          <t>KIL</t>
        </is>
      </c>
      <c r="I200" t="n">
        <v>5.2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57151-2023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45245</v>
      </c>
      <c r="E201" s="1" t="n">
        <v>46323</v>
      </c>
      <c r="F201" t="inlineStr">
        <is>
          <t>VÄRMLANDS LÄN</t>
        </is>
      </c>
      <c r="G201" t="inlineStr">
        <is>
          <t>KIL</t>
        </is>
      </c>
      <c r="I201" t="n">
        <v>1.5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13504-2026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46094</v>
      </c>
      <c r="E202" s="1" t="n">
        <v>46323</v>
      </c>
      <c r="F202" t="inlineStr">
        <is>
          <t>VÄRMLANDS LÄN</t>
        </is>
      </c>
      <c r="G202" t="inlineStr">
        <is>
          <t>KIL</t>
        </is>
      </c>
      <c r="I202" t="n">
        <v>2.2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14036-2026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46098</v>
      </c>
      <c r="E203" s="1" t="n">
        <v>46323</v>
      </c>
      <c r="F203" t="inlineStr">
        <is>
          <t>VÄRMLANDS LÄN</t>
        </is>
      </c>
      <c r="G203" t="inlineStr">
        <is>
          <t>KIL</t>
        </is>
      </c>
      <c r="I203" t="n">
        <v>0.5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10476-2025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45720</v>
      </c>
      <c r="E204" s="1" t="n">
        <v>46323</v>
      </c>
      <c r="F204" t="inlineStr">
        <is>
          <t>VÄRMLANDS LÄN</t>
        </is>
      </c>
      <c r="G204" t="inlineStr">
        <is>
          <t>KIL</t>
        </is>
      </c>
      <c r="H204" t="inlineStr">
        <is>
          <t>Kyrkan</t>
        </is>
      </c>
      <c r="I204" t="n">
        <v>1.6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41526-2023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45175</v>
      </c>
      <c r="E205" s="1" t="n">
        <v>46323</v>
      </c>
      <c r="F205" t="inlineStr">
        <is>
          <t>VÄRMLANDS LÄN</t>
        </is>
      </c>
      <c r="G205" t="inlineStr">
        <is>
          <t>KIL</t>
        </is>
      </c>
      <c r="H205" t="inlineStr">
        <is>
          <t>Kyrkan</t>
        </is>
      </c>
      <c r="I205" t="n">
        <v>1.1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41128-2026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46300</v>
      </c>
      <c r="E206" s="1" t="n">
        <v>46323</v>
      </c>
      <c r="F206" t="inlineStr">
        <is>
          <t>VÄRMLANDS LÄN</t>
        </is>
      </c>
      <c r="G206" t="inlineStr">
        <is>
          <t>KIL</t>
        </is>
      </c>
      <c r="I206" t="n">
        <v>1.2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18096-2026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46125</v>
      </c>
      <c r="E207" s="1" t="n">
        <v>46323</v>
      </c>
      <c r="F207" t="inlineStr">
        <is>
          <t>VÄRMLANDS LÄN</t>
        </is>
      </c>
      <c r="G207" t="inlineStr">
        <is>
          <t>KIL</t>
        </is>
      </c>
      <c r="I207" t="n">
        <v>1.9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18101-2026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46125</v>
      </c>
      <c r="E208" s="1" t="n">
        <v>46323</v>
      </c>
      <c r="F208" t="inlineStr">
        <is>
          <t>VÄRMLANDS LÄN</t>
        </is>
      </c>
      <c r="G208" t="inlineStr">
        <is>
          <t>KIL</t>
        </is>
      </c>
      <c r="I208" t="n">
        <v>4.8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31621-2022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44775</v>
      </c>
      <c r="E209" s="1" t="n">
        <v>46323</v>
      </c>
      <c r="F209" t="inlineStr">
        <is>
          <t>VÄRMLANDS LÄN</t>
        </is>
      </c>
      <c r="G209" t="inlineStr">
        <is>
          <t>KIL</t>
        </is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2314-2022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44578</v>
      </c>
      <c r="E210" s="1" t="n">
        <v>46323</v>
      </c>
      <c r="F210" t="inlineStr">
        <is>
          <t>VÄRMLANDS LÄN</t>
        </is>
      </c>
      <c r="G210" t="inlineStr">
        <is>
          <t>KIL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22566-2025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45789</v>
      </c>
      <c r="E211" s="1" t="n">
        <v>46323</v>
      </c>
      <c r="F211" t="inlineStr">
        <is>
          <t>VÄRMLANDS LÄN</t>
        </is>
      </c>
      <c r="G211" t="inlineStr">
        <is>
          <t>KIL</t>
        </is>
      </c>
      <c r="I211" t="n">
        <v>1.2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45591-2023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45194</v>
      </c>
      <c r="E212" s="1" t="n">
        <v>46323</v>
      </c>
      <c r="F212" t="inlineStr">
        <is>
          <t>VÄRMLANDS LÄN</t>
        </is>
      </c>
      <c r="G212" t="inlineStr">
        <is>
          <t>KIL</t>
        </is>
      </c>
      <c r="I212" t="n">
        <v>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46998-2024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45586</v>
      </c>
      <c r="E213" s="1" t="n">
        <v>46323</v>
      </c>
      <c r="F213" t="inlineStr">
        <is>
          <t>VÄRMLANDS LÄN</t>
        </is>
      </c>
      <c r="G213" t="inlineStr">
        <is>
          <t>KIL</t>
        </is>
      </c>
      <c r="I213" t="n">
        <v>0.7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2263-2023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44941</v>
      </c>
      <c r="E214" s="1" t="n">
        <v>46323</v>
      </c>
      <c r="F214" t="inlineStr">
        <is>
          <t>VÄRMLANDS LÄN</t>
        </is>
      </c>
      <c r="G214" t="inlineStr">
        <is>
          <t>KIL</t>
        </is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36795-2024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45538</v>
      </c>
      <c r="E215" s="1" t="n">
        <v>46323</v>
      </c>
      <c r="F215" t="inlineStr">
        <is>
          <t>VÄRMLANDS LÄN</t>
        </is>
      </c>
      <c r="G215" t="inlineStr">
        <is>
          <t>KIL</t>
        </is>
      </c>
      <c r="I215" t="n">
        <v>9.300000000000001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34846-2026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46258</v>
      </c>
      <c r="E216" s="1" t="n">
        <v>46323</v>
      </c>
      <c r="F216" t="inlineStr">
        <is>
          <t>VÄRMLANDS LÄN</t>
        </is>
      </c>
      <c r="G216" t="inlineStr">
        <is>
          <t>KIL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50252-2024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45600</v>
      </c>
      <c r="E217" s="1" t="n">
        <v>46323</v>
      </c>
      <c r="F217" t="inlineStr">
        <is>
          <t>VÄRMLANDS LÄN</t>
        </is>
      </c>
      <c r="G217" t="inlineStr">
        <is>
          <t>KIL</t>
        </is>
      </c>
      <c r="I217" t="n">
        <v>4.5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4832-2022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44592</v>
      </c>
      <c r="E218" s="1" t="n">
        <v>46323</v>
      </c>
      <c r="F218" t="inlineStr">
        <is>
          <t>VÄRMLANDS LÄN</t>
        </is>
      </c>
      <c r="G218" t="inlineStr">
        <is>
          <t>KIL</t>
        </is>
      </c>
      <c r="I218" t="n">
        <v>1.1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58244-2025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45985</v>
      </c>
      <c r="E219" s="1" t="n">
        <v>46323</v>
      </c>
      <c r="F219" t="inlineStr">
        <is>
          <t>VÄRMLANDS LÄN</t>
        </is>
      </c>
      <c r="G219" t="inlineStr">
        <is>
          <t>KIL</t>
        </is>
      </c>
      <c r="I219" t="n">
        <v>2.3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18336-2023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45041</v>
      </c>
      <c r="E220" s="1" t="n">
        <v>46323</v>
      </c>
      <c r="F220" t="inlineStr">
        <is>
          <t>VÄRMLANDS LÄN</t>
        </is>
      </c>
      <c r="G220" t="inlineStr">
        <is>
          <t>KIL</t>
        </is>
      </c>
      <c r="H220" t="inlineStr">
        <is>
          <t>Bergvik skog väst AB</t>
        </is>
      </c>
      <c r="I220" t="n">
        <v>2.5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20184-2026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46139</v>
      </c>
      <c r="E221" s="1" t="n">
        <v>46323</v>
      </c>
      <c r="F221" t="inlineStr">
        <is>
          <t>VÄRMLANDS LÄN</t>
        </is>
      </c>
      <c r="G221" t="inlineStr">
        <is>
          <t>KIL</t>
        </is>
      </c>
      <c r="I221" t="n">
        <v>6.5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38835-2024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45547</v>
      </c>
      <c r="E222" s="1" t="n">
        <v>46323</v>
      </c>
      <c r="F222" t="inlineStr">
        <is>
          <t>VÄRMLANDS LÄN</t>
        </is>
      </c>
      <c r="G222" t="inlineStr">
        <is>
          <t>KIL</t>
        </is>
      </c>
      <c r="I222" t="n">
        <v>1.8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59871-2024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45640</v>
      </c>
      <c r="E223" s="1" t="n">
        <v>46323</v>
      </c>
      <c r="F223" t="inlineStr">
        <is>
          <t>VÄRMLANDS LÄN</t>
        </is>
      </c>
      <c r="G223" t="inlineStr">
        <is>
          <t>KIL</t>
        </is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2309-2024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45310</v>
      </c>
      <c r="E224" s="1" t="n">
        <v>46323</v>
      </c>
      <c r="F224" t="inlineStr">
        <is>
          <t>VÄRMLANDS LÄN</t>
        </is>
      </c>
      <c r="G224" t="inlineStr">
        <is>
          <t>KIL</t>
        </is>
      </c>
      <c r="I224" t="n">
        <v>0.5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2306-2024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45310</v>
      </c>
      <c r="E225" s="1" t="n">
        <v>46323</v>
      </c>
      <c r="F225" t="inlineStr">
        <is>
          <t>VÄRMLANDS LÄN</t>
        </is>
      </c>
      <c r="G225" t="inlineStr">
        <is>
          <t>KIL</t>
        </is>
      </c>
      <c r="I225" t="n">
        <v>3.4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59200-2023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45253</v>
      </c>
      <c r="E226" s="1" t="n">
        <v>46323</v>
      </c>
      <c r="F226" t="inlineStr">
        <is>
          <t>VÄRMLANDS LÄN</t>
        </is>
      </c>
      <c r="G226" t="inlineStr">
        <is>
          <t>KIL</t>
        </is>
      </c>
      <c r="I226" t="n">
        <v>0.7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26438-2025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45807</v>
      </c>
      <c r="E227" s="1" t="n">
        <v>46323</v>
      </c>
      <c r="F227" t="inlineStr">
        <is>
          <t>VÄRMLANDS LÄN</t>
        </is>
      </c>
      <c r="G227" t="inlineStr">
        <is>
          <t>KIL</t>
        </is>
      </c>
      <c r="I227" t="n">
        <v>0.9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1847-2025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45671</v>
      </c>
      <c r="E228" s="1" t="n">
        <v>46323</v>
      </c>
      <c r="F228" t="inlineStr">
        <is>
          <t>VÄRMLANDS LÄN</t>
        </is>
      </c>
      <c r="G228" t="inlineStr">
        <is>
          <t>KIL</t>
        </is>
      </c>
      <c r="I228" t="n">
        <v>1.9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3851-2025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45683</v>
      </c>
      <c r="E229" s="1" t="n">
        <v>46323</v>
      </c>
      <c r="F229" t="inlineStr">
        <is>
          <t>VÄRMLANDS LÄN</t>
        </is>
      </c>
      <c r="G229" t="inlineStr">
        <is>
          <t>KIL</t>
        </is>
      </c>
      <c r="I229" t="n">
        <v>2.5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26263-2023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45091</v>
      </c>
      <c r="E230" s="1" t="n">
        <v>46323</v>
      </c>
      <c r="F230" t="inlineStr">
        <is>
          <t>VÄRMLANDS LÄN</t>
        </is>
      </c>
      <c r="G230" t="inlineStr">
        <is>
          <t>KIL</t>
        </is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20259-2026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46139</v>
      </c>
      <c r="E231" s="1" t="n">
        <v>46323</v>
      </c>
      <c r="F231" t="inlineStr">
        <is>
          <t>VÄRMLANDS LÄN</t>
        </is>
      </c>
      <c r="G231" t="inlineStr">
        <is>
          <t>KIL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44646-2024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45574</v>
      </c>
      <c r="E232" s="1" t="n">
        <v>46323</v>
      </c>
      <c r="F232" t="inlineStr">
        <is>
          <t>VÄRMLANDS LÄN</t>
        </is>
      </c>
      <c r="G232" t="inlineStr">
        <is>
          <t>KIL</t>
        </is>
      </c>
      <c r="I232" t="n">
        <v>1.3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36305-2022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44803</v>
      </c>
      <c r="E233" s="1" t="n">
        <v>46323</v>
      </c>
      <c r="F233" t="inlineStr">
        <is>
          <t>VÄRMLANDS LÄN</t>
        </is>
      </c>
      <c r="G233" t="inlineStr">
        <is>
          <t>KIL</t>
        </is>
      </c>
      <c r="I233" t="n">
        <v>2.3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24247-2025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45797</v>
      </c>
      <c r="E234" s="1" t="n">
        <v>46323</v>
      </c>
      <c r="F234" t="inlineStr">
        <is>
          <t>VÄRMLANDS LÄN</t>
        </is>
      </c>
      <c r="G234" t="inlineStr">
        <is>
          <t>KIL</t>
        </is>
      </c>
      <c r="I234" t="n">
        <v>1.7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30260-2025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45827</v>
      </c>
      <c r="E235" s="1" t="n">
        <v>46323</v>
      </c>
      <c r="F235" t="inlineStr">
        <is>
          <t>VÄRMLANDS LÄN</t>
        </is>
      </c>
      <c r="G235" t="inlineStr">
        <is>
          <t>KIL</t>
        </is>
      </c>
      <c r="I235" t="n">
        <v>0.9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43194-2025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45910</v>
      </c>
      <c r="E236" s="1" t="n">
        <v>46323</v>
      </c>
      <c r="F236" t="inlineStr">
        <is>
          <t>VÄRMLANDS LÄN</t>
        </is>
      </c>
      <c r="G236" t="inlineStr">
        <is>
          <t>KIL</t>
        </is>
      </c>
      <c r="I236" t="n">
        <v>1.8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33475-2024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45519</v>
      </c>
      <c r="E237" s="1" t="n">
        <v>46323</v>
      </c>
      <c r="F237" t="inlineStr">
        <is>
          <t>VÄRMLANDS LÄN</t>
        </is>
      </c>
      <c r="G237" t="inlineStr">
        <is>
          <t>KIL</t>
        </is>
      </c>
      <c r="I237" t="n">
        <v>3.8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10374-2022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44623</v>
      </c>
      <c r="E238" s="1" t="n">
        <v>46323</v>
      </c>
      <c r="F238" t="inlineStr">
        <is>
          <t>VÄRMLANDS LÄN</t>
        </is>
      </c>
      <c r="G238" t="inlineStr">
        <is>
          <t>KIL</t>
        </is>
      </c>
      <c r="I238" t="n">
        <v>1.5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4069-2025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45684</v>
      </c>
      <c r="E239" s="1" t="n">
        <v>46323</v>
      </c>
      <c r="F239" t="inlineStr">
        <is>
          <t>VÄRMLANDS LÄN</t>
        </is>
      </c>
      <c r="G239" t="inlineStr">
        <is>
          <t>KIL</t>
        </is>
      </c>
      <c r="H239" t="inlineStr">
        <is>
          <t>Kommuner</t>
        </is>
      </c>
      <c r="I239" t="n">
        <v>0.4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26910-2025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45811</v>
      </c>
      <c r="E240" s="1" t="n">
        <v>46323</v>
      </c>
      <c r="F240" t="inlineStr">
        <is>
          <t>VÄRMLANDS LÄN</t>
        </is>
      </c>
      <c r="G240" t="inlineStr">
        <is>
          <t>KIL</t>
        </is>
      </c>
      <c r="I240" t="n">
        <v>1.7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27792-2023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45098</v>
      </c>
      <c r="E241" s="1" t="n">
        <v>46323</v>
      </c>
      <c r="F241" t="inlineStr">
        <is>
          <t>VÄRMLANDS LÄN</t>
        </is>
      </c>
      <c r="G241" t="inlineStr">
        <is>
          <t>KIL</t>
        </is>
      </c>
      <c r="I241" t="n">
        <v>0.3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44058-2026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46317</v>
      </c>
      <c r="E242" s="1" t="n">
        <v>46323</v>
      </c>
      <c r="F242" t="inlineStr">
        <is>
          <t>VÄRMLANDS LÄN</t>
        </is>
      </c>
      <c r="G242" t="inlineStr">
        <is>
          <t>KIL</t>
        </is>
      </c>
      <c r="H242" t="inlineStr">
        <is>
          <t>Kyrkan</t>
        </is>
      </c>
      <c r="I242" t="n">
        <v>10.9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32839-2023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45109</v>
      </c>
      <c r="E243" s="1" t="n">
        <v>46323</v>
      </c>
      <c r="F243" t="inlineStr">
        <is>
          <t>VÄRMLANDS LÄN</t>
        </is>
      </c>
      <c r="G243" t="inlineStr">
        <is>
          <t>KIL</t>
        </is>
      </c>
      <c r="I243" t="n">
        <v>1.8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22226-2026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46150</v>
      </c>
      <c r="E244" s="1" t="n">
        <v>46323</v>
      </c>
      <c r="F244" t="inlineStr">
        <is>
          <t>VÄRMLANDS LÄN</t>
        </is>
      </c>
      <c r="G244" t="inlineStr">
        <is>
          <t>KIL</t>
        </is>
      </c>
      <c r="I244" t="n">
        <v>2.1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32982-2025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45839</v>
      </c>
      <c r="E245" s="1" t="n">
        <v>46323</v>
      </c>
      <c r="F245" t="inlineStr">
        <is>
          <t>VÄRMLANDS LÄN</t>
        </is>
      </c>
      <c r="G245" t="inlineStr">
        <is>
          <t>KIL</t>
        </is>
      </c>
      <c r="H245" t="inlineStr">
        <is>
          <t>Kyrkan</t>
        </is>
      </c>
      <c r="I245" t="n">
        <v>0.9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32410-2025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45838</v>
      </c>
      <c r="E246" s="1" t="n">
        <v>46323</v>
      </c>
      <c r="F246" t="inlineStr">
        <is>
          <t>VÄRMLANDS LÄN</t>
        </is>
      </c>
      <c r="G246" t="inlineStr">
        <is>
          <t>KIL</t>
        </is>
      </c>
      <c r="I246" t="n">
        <v>4.5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44794-2026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46322</v>
      </c>
      <c r="E247" s="1" t="n">
        <v>46323</v>
      </c>
      <c r="F247" t="inlineStr">
        <is>
          <t>VÄRMLANDS LÄN</t>
        </is>
      </c>
      <c r="G247" t="inlineStr">
        <is>
          <t>KIL</t>
        </is>
      </c>
      <c r="I247" t="n">
        <v>2.8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17473-2025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45757</v>
      </c>
      <c r="E248" s="1" t="n">
        <v>46323</v>
      </c>
      <c r="F248" t="inlineStr">
        <is>
          <t>VÄRMLANDS LÄN</t>
        </is>
      </c>
      <c r="G248" t="inlineStr">
        <is>
          <t>KIL</t>
        </is>
      </c>
      <c r="I248" t="n">
        <v>2.5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35449-2024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45531</v>
      </c>
      <c r="E249" s="1" t="n">
        <v>46323</v>
      </c>
      <c r="F249" t="inlineStr">
        <is>
          <t>VÄRMLANDS LÄN</t>
        </is>
      </c>
      <c r="G249" t="inlineStr">
        <is>
          <t>KIL</t>
        </is>
      </c>
      <c r="I249" t="n">
        <v>6.8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7822-2024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45349</v>
      </c>
      <c r="E250" s="1" t="n">
        <v>46323</v>
      </c>
      <c r="F250" t="inlineStr">
        <is>
          <t>VÄRMLANDS LÄN</t>
        </is>
      </c>
      <c r="G250" t="inlineStr">
        <is>
          <t>KIL</t>
        </is>
      </c>
      <c r="I250" t="n">
        <v>1.7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8541-2025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45709</v>
      </c>
      <c r="E251" s="1" t="n">
        <v>46323</v>
      </c>
      <c r="F251" t="inlineStr">
        <is>
          <t>VÄRMLANDS LÄN</t>
        </is>
      </c>
      <c r="G251" t="inlineStr">
        <is>
          <t>KIL</t>
        </is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24262-2025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45797</v>
      </c>
      <c r="E252" s="1" t="n">
        <v>46323</v>
      </c>
      <c r="F252" t="inlineStr">
        <is>
          <t>VÄRMLANDS LÄN</t>
        </is>
      </c>
      <c r="G252" t="inlineStr">
        <is>
          <t>KIL</t>
        </is>
      </c>
      <c r="I252" t="n">
        <v>1.2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23327-2026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46162</v>
      </c>
      <c r="E253" s="1" t="n">
        <v>46323</v>
      </c>
      <c r="F253" t="inlineStr">
        <is>
          <t>VÄRMLANDS LÄN</t>
        </is>
      </c>
      <c r="G253" t="inlineStr">
        <is>
          <t>KIL</t>
        </is>
      </c>
      <c r="I253" t="n">
        <v>3.9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24640-2026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46171</v>
      </c>
      <c r="E254" s="1" t="n">
        <v>46323</v>
      </c>
      <c r="F254" t="inlineStr">
        <is>
          <t>VÄRMLANDS LÄN</t>
        </is>
      </c>
      <c r="G254" t="inlineStr">
        <is>
          <t>KIL</t>
        </is>
      </c>
      <c r="I254" t="n">
        <v>1.3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27638-2026</t>
        </is>
      </c>
      <c r="B255" t="inlineStr">
        <is>
          <t>avverkningsanmälan</t>
        </is>
      </c>
      <c r="C255" t="inlineStr">
        <is>
          <t>Avverkning för annat ändamål</t>
        </is>
      </c>
      <c r="D255" s="1" t="n">
        <v>46190</v>
      </c>
      <c r="E255" s="1" t="n">
        <v>46323</v>
      </c>
      <c r="F255" t="inlineStr">
        <is>
          <t>VÄRMLANDS LÄN</t>
        </is>
      </c>
      <c r="G255" t="inlineStr">
        <is>
          <t>KIL</t>
        </is>
      </c>
      <c r="H255" t="inlineStr">
        <is>
          <t>Kyrkan</t>
        </is>
      </c>
      <c r="I255" t="n">
        <v>2.7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S 4021-2022</t>
        </is>
      </c>
      <c r="B256" t="inlineStr">
        <is>
          <t>samrådsanmälan</t>
        </is>
      </c>
      <c r="C256" t="inlineStr">
        <is>
          <t>Åtgärd i nyckelbiotop</t>
        </is>
      </c>
      <c r="D256" s="1" t="n">
        <v>44755</v>
      </c>
      <c r="E256" s="1" t="n">
        <v>46323</v>
      </c>
      <c r="F256" t="inlineStr">
        <is>
          <t>VÄRMLANDS LÄN</t>
        </is>
      </c>
      <c r="G256" t="inlineStr">
        <is>
          <t>KIL</t>
        </is>
      </c>
      <c r="I256" t="n">
        <v>0.9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S 3995-2024</t>
        </is>
      </c>
      <c r="B257" t="inlineStr">
        <is>
          <t>samrådsanmälan</t>
        </is>
      </c>
      <c r="C257" t="inlineStr">
        <is>
          <t>Askåterföring</t>
        </is>
      </c>
      <c r="D257" s="1" t="n">
        <v>45569</v>
      </c>
      <c r="E257" s="1" t="n">
        <v>46323</v>
      </c>
      <c r="F257" t="inlineStr">
        <is>
          <t>VÄRMLANDS LÄN</t>
        </is>
      </c>
      <c r="G257" t="inlineStr">
        <is>
          <t>KIL</t>
        </is>
      </c>
      <c r="I257" t="n">
        <v>25.3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S 4404-2023</t>
        </is>
      </c>
      <c r="B258" t="inlineStr">
        <is>
          <t>samrådsanmälan</t>
        </is>
      </c>
      <c r="C258" t="inlineStr">
        <is>
          <t>Skogsgödsling</t>
        </is>
      </c>
      <c r="D258" s="1" t="n">
        <v>45266</v>
      </c>
      <c r="E258" s="1" t="n">
        <v>46323</v>
      </c>
      <c r="F258" t="inlineStr">
        <is>
          <t>VÄRMLANDS LÄN</t>
        </is>
      </c>
      <c r="G258" t="inlineStr">
        <is>
          <t>KIL</t>
        </is>
      </c>
      <c r="H258" t="inlineStr">
        <is>
          <t>Bergvik skog väst AB</t>
        </is>
      </c>
      <c r="I258" t="n">
        <v>16.6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S 6966-2022</t>
        </is>
      </c>
      <c r="B259" t="inlineStr">
        <is>
          <t>samrådsanmälan</t>
        </is>
      </c>
      <c r="C259" t="inlineStr">
        <is>
          <t>Skogsgödsling</t>
        </is>
      </c>
      <c r="D259" s="1" t="n">
        <v>44901</v>
      </c>
      <c r="E259" s="1" t="n">
        <v>46323</v>
      </c>
      <c r="F259" t="inlineStr">
        <is>
          <t>VÄRMLANDS LÄN</t>
        </is>
      </c>
      <c r="G259" t="inlineStr">
        <is>
          <t>KIL</t>
        </is>
      </c>
      <c r="H259" t="inlineStr">
        <is>
          <t>Bergvik skog väst AB</t>
        </is>
      </c>
      <c r="I259" t="n">
        <v>37.7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S 4398-2023</t>
        </is>
      </c>
      <c r="B260" t="inlineStr">
        <is>
          <t>samrådsanmälan</t>
        </is>
      </c>
      <c r="C260" t="inlineStr">
        <is>
          <t>Skogsgödsling</t>
        </is>
      </c>
      <c r="D260" s="1" t="n">
        <v>45266</v>
      </c>
      <c r="E260" s="1" t="n">
        <v>46323</v>
      </c>
      <c r="F260" t="inlineStr">
        <is>
          <t>VÄRMLANDS LÄN</t>
        </is>
      </c>
      <c r="G260" t="inlineStr">
        <is>
          <t>KIL</t>
        </is>
      </c>
      <c r="H260" t="inlineStr">
        <is>
          <t>Bergvik skog väst AB</t>
        </is>
      </c>
      <c r="I260" t="n">
        <v>22.4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S 2561-2024</t>
        </is>
      </c>
      <c r="B261" t="inlineStr">
        <is>
          <t>samrådsanmälan</t>
        </is>
      </c>
      <c r="C261" t="inlineStr">
        <is>
          <t>Askåterföring</t>
        </is>
      </c>
      <c r="D261" s="1" t="n">
        <v>45476</v>
      </c>
      <c r="E261" s="1" t="n">
        <v>46323</v>
      </c>
      <c r="F261" t="inlineStr">
        <is>
          <t>VÄRMLANDS LÄN</t>
        </is>
      </c>
      <c r="G261" t="inlineStr">
        <is>
          <t>KIL</t>
        </is>
      </c>
      <c r="I261" t="n">
        <v>13.6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S 2562-2024</t>
        </is>
      </c>
      <c r="B262" t="inlineStr">
        <is>
          <t>samrådsanmälan</t>
        </is>
      </c>
      <c r="C262" t="inlineStr">
        <is>
          <t>Askåterföring</t>
        </is>
      </c>
      <c r="D262" s="1" t="n">
        <v>45476</v>
      </c>
      <c r="E262" s="1" t="n">
        <v>46323</v>
      </c>
      <c r="F262" t="inlineStr">
        <is>
          <t>VÄRMLANDS LÄN</t>
        </is>
      </c>
      <c r="G262" t="inlineStr">
        <is>
          <t>KIL</t>
        </is>
      </c>
      <c r="H262" t="inlineStr">
        <is>
          <t>Kommuner</t>
        </is>
      </c>
      <c r="I262" t="n">
        <v>56.9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S 2877-2024</t>
        </is>
      </c>
      <c r="B263" t="inlineStr">
        <is>
          <t>samrådsanmälan</t>
        </is>
      </c>
      <c r="C263" t="inlineStr">
        <is>
          <t>Askåterföring</t>
        </is>
      </c>
      <c r="D263" s="1" t="n">
        <v>45499</v>
      </c>
      <c r="E263" s="1" t="n">
        <v>46323</v>
      </c>
      <c r="F263" t="inlineStr">
        <is>
          <t>VÄRMLANDS LÄN</t>
        </is>
      </c>
      <c r="G263" t="inlineStr">
        <is>
          <t>KIL</t>
        </is>
      </c>
      <c r="I263" t="n">
        <v>15.1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>
      <c r="A264" t="inlineStr">
        <is>
          <t>S 114-2026</t>
        </is>
      </c>
      <c r="B264" t="inlineStr">
        <is>
          <t>samrådsanmälan</t>
        </is>
      </c>
      <c r="C264" t="inlineStr">
        <is>
          <t>Skogsgödsling</t>
        </is>
      </c>
      <c r="D264" s="1" t="n">
        <v>46037</v>
      </c>
      <c r="E264" s="1" t="n">
        <v>46323</v>
      </c>
      <c r="F264" t="inlineStr">
        <is>
          <t>VÄRMLANDS LÄN</t>
        </is>
      </c>
      <c r="G264" t="inlineStr">
        <is>
          <t>KIL</t>
        </is>
      </c>
      <c r="H264" t="inlineStr">
        <is>
          <t>Bergvik skog väst AB</t>
        </is>
      </c>
      <c r="I264" t="n">
        <v>20.8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2026-10-28T03:12:37Z</dcterms:created>
  <dcterms:modified xmlns:dcterms="http://purl.org/dc/terms/" xmlns:xsi="http://www.w3.org/2001/XMLSchema-instance" xsi:type="dcterms:W3CDTF">2026-10-28T03:12:38Z</dcterms:modified>
</cp:coreProperties>
</file>