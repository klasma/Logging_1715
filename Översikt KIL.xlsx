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46284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46284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46284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46284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46284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46284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46284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46284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46284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46284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42668-2025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45907</v>
      </c>
      <c r="E16" s="1" t="n">
        <v>46284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11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Kambräken</t>
        </is>
      </c>
      <c r="W16">
        <f>HYPERLINK("https://klasma.github.io/Logging_1715/artfynd/A 42668-2025 artfynd.xlsx", "A 42668-2025")</f>
        <v/>
      </c>
      <c r="X16">
        <f>HYPERLINK("https://klasma.github.io/Logging_1715/kartor/A 42668-2025 karta.png", "A 42668-2025")</f>
        <v/>
      </c>
      <c r="Y16">
        <f>HYPERLINK("https://klasma.github.io/Logging_1715/kartor_geotiff/A 42668-2025 georefererad karta.tif", "A 42668-2025")</f>
        <v/>
      </c>
      <c r="AA16">
        <f>HYPERLINK("https://klasma.github.io/Logging_1715/klagomål/A 42668-2025 FSC-klagomål.docx", "A 42668-2025")</f>
        <v/>
      </c>
      <c r="AB16">
        <f>HYPERLINK("https://klasma.github.io/Logging_1715/klagomålsmail/A 42668-2025 FSC-klagomål mail.docx", "A 42668-2025")</f>
        <v/>
      </c>
      <c r="AC16">
        <f>HYPERLINK("https://klasma.github.io/Logging_1715/tillsyn/A 42668-2025 tillsynsbegäran.docx", "A 42668-2025")</f>
        <v/>
      </c>
      <c r="AD16">
        <f>HYPERLINK("https://klasma.github.io/Logging_1715/tillsynsmail/A 42668-2025 tillsynsbegäran mail.docx", "A 42668-2025")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46284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46284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46284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46284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46284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46284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46284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46284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46284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46284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46284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46284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46284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46284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46284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46284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46284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46284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46284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46284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46284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46284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46284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46284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44483</v>
      </c>
      <c r="E41" s="1" t="n">
        <v>46284</v>
      </c>
      <c r="F41" t="inlineStr">
        <is>
          <t>VÄRMLANDS LÄN</t>
        </is>
      </c>
      <c r="G41" t="inlineStr">
        <is>
          <t>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46284</v>
      </c>
      <c r="F42" t="inlineStr">
        <is>
          <t>VÄRMLANDS LÄN</t>
        </is>
      </c>
      <c r="G42" t="inlineStr">
        <is>
          <t>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46284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46284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46284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46284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44474</v>
      </c>
      <c r="E47" s="1" t="n">
        <v>46284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46284</v>
      </c>
      <c r="F48" t="inlineStr">
        <is>
          <t>VÄRMLANDS LÄN</t>
        </is>
      </c>
      <c r="G48" t="inlineStr">
        <is>
          <t>KIL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46284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46284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46284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46284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46284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44589</v>
      </c>
      <c r="E54" s="1" t="n">
        <v>46284</v>
      </c>
      <c r="F54" t="inlineStr">
        <is>
          <t>VÄRMLANDS LÄN</t>
        </is>
      </c>
      <c r="G54" t="inlineStr">
        <is>
          <t>KIL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46284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46284</v>
      </c>
      <c r="F56" t="inlineStr">
        <is>
          <t>VÄRMLANDS LÄN</t>
        </is>
      </c>
      <c r="G56" t="inlineStr">
        <is>
          <t>KIL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37962-2022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44811</v>
      </c>
      <c r="E57" s="1" t="n">
        <v>46284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46284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46284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46284</v>
      </c>
      <c r="F60" t="inlineStr">
        <is>
          <t>VÄRMLANDS LÄN</t>
        </is>
      </c>
      <c r="G60" t="inlineStr">
        <is>
          <t>KIL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45252</v>
      </c>
      <c r="E61" s="1" t="n">
        <v>46284</v>
      </c>
      <c r="F61" t="inlineStr">
        <is>
          <t>VÄRMLANDS LÄN</t>
        </is>
      </c>
      <c r="G61" t="inlineStr">
        <is>
          <t>KIL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44927</v>
      </c>
      <c r="E62" s="1" t="n">
        <v>46284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46284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46284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14651-2024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46284</v>
      </c>
      <c r="F65" t="inlineStr">
        <is>
          <t>VÄRMLANDS LÄN</t>
        </is>
      </c>
      <c r="G65" t="inlineStr">
        <is>
          <t>KIL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46284</v>
      </c>
      <c r="F66" t="inlineStr">
        <is>
          <t>VÄRMLANDS LÄN</t>
        </is>
      </c>
      <c r="G66" t="inlineStr">
        <is>
          <t>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46284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46284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46284</v>
      </c>
      <c r="F69" t="inlineStr">
        <is>
          <t>VÄRMLANDS LÄN</t>
        </is>
      </c>
      <c r="G69" t="inlineStr">
        <is>
          <t>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46284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46284</v>
      </c>
      <c r="F71" t="inlineStr">
        <is>
          <t>VÄRMLANDS LÄN</t>
        </is>
      </c>
      <c r="G71" t="inlineStr">
        <is>
          <t>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46284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46284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46284</v>
      </c>
      <c r="F74" t="inlineStr">
        <is>
          <t>VÄRMLANDS LÄN</t>
        </is>
      </c>
      <c r="G74" t="inlineStr">
        <is>
          <t>KIL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45294</v>
      </c>
      <c r="E75" s="1" t="n">
        <v>46284</v>
      </c>
      <c r="F75" t="inlineStr">
        <is>
          <t>VÄRMLANDS LÄN</t>
        </is>
      </c>
      <c r="G75" t="inlineStr">
        <is>
          <t>KIL</t>
        </is>
      </c>
      <c r="H75" t="inlineStr">
        <is>
          <t>Kyrkan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46284</v>
      </c>
      <c r="F76" t="inlineStr">
        <is>
          <t>VÄRMLANDS LÄN</t>
        </is>
      </c>
      <c r="G76" t="inlineStr">
        <is>
          <t>KIL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46284</v>
      </c>
      <c r="F77" t="inlineStr">
        <is>
          <t>VÄRMLANDS LÄN</t>
        </is>
      </c>
      <c r="G77" t="inlineStr">
        <is>
          <t>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46284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46284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46284</v>
      </c>
      <c r="F80" t="inlineStr">
        <is>
          <t>VÄRMLANDS LÄN</t>
        </is>
      </c>
      <c r="G80" t="inlineStr">
        <is>
          <t>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46284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46284</v>
      </c>
      <c r="F82" t="inlineStr">
        <is>
          <t>VÄRMLANDS LÄN</t>
        </is>
      </c>
      <c r="G82" t="inlineStr">
        <is>
          <t>KIL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46284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46284</v>
      </c>
      <c r="F84" t="inlineStr">
        <is>
          <t>VÄRMLANDS LÄN</t>
        </is>
      </c>
      <c r="G84" t="inlineStr">
        <is>
          <t>KIL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46284</v>
      </c>
      <c r="F85" t="inlineStr">
        <is>
          <t>VÄRMLANDS LÄN</t>
        </is>
      </c>
      <c r="G85" t="inlineStr">
        <is>
          <t>KIL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HYPERLINK("https://klasma.github.io/Logging_1715/knärot/A 59064-2023 karta knärot.png", "A 59064-2023")</f>
        <v/>
      </c>
      <c r="AA85">
        <f>HYPERLINK("https://klasma.github.io/Logging_1715/klagomål/A 59064-2023 FSC-klagomål.docx", "A 59064-2023")</f>
        <v/>
      </c>
      <c r="AB85">
        <f>HYPERLINK("https://klasma.github.io/Logging_1715/klagomålsmail/A 59064-2023 FSC-klagomål mail.docx", "A 59064-2023")</f>
        <v/>
      </c>
      <c r="AC85">
        <f>HYPERLINK("https://klasma.github.io/Logging_1715/tillsyn/A 59064-2023 tillsynsbegäran.docx", "A 59064-2023")</f>
        <v/>
      </c>
      <c r="AD85">
        <f>HYPERLINK("https://klasma.github.io/Logging_1715/tillsynsmail/A 59064-2023 tillsynsbegäran mail.docx", "A 59064-2023")</f>
        <v/>
      </c>
    </row>
    <row r="86" ht="15" customHeight="1">
      <c r="A86" t="inlineStr">
        <is>
          <t>A 38835-2024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45547</v>
      </c>
      <c r="E86" s="1" t="n">
        <v>46284</v>
      </c>
      <c r="F86" t="inlineStr">
        <is>
          <t>VÄRMLANDS LÄN</t>
        </is>
      </c>
      <c r="G86" t="inlineStr">
        <is>
          <t>KIL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45683</v>
      </c>
      <c r="E87" s="1" t="n">
        <v>46284</v>
      </c>
      <c r="F87" t="inlineStr">
        <is>
          <t>VÄRMLANDS LÄN</t>
        </is>
      </c>
      <c r="G87" t="inlineStr">
        <is>
          <t>KIL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46284</v>
      </c>
      <c r="F88" t="inlineStr">
        <is>
          <t>VÄRMLANDS LÄN</t>
        </is>
      </c>
      <c r="G88" t="inlineStr">
        <is>
          <t>KIL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45548</v>
      </c>
      <c r="E89" s="1" t="n">
        <v>46284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46284</v>
      </c>
      <c r="F90" t="inlineStr">
        <is>
          <t>VÄRMLANDS LÄN</t>
        </is>
      </c>
      <c r="G90" t="inlineStr">
        <is>
          <t>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46284</v>
      </c>
      <c r="F91" t="inlineStr">
        <is>
          <t>VÄRMLANDS LÄN</t>
        </is>
      </c>
      <c r="G91" t="inlineStr">
        <is>
          <t>KIL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45279</v>
      </c>
      <c r="E92" s="1" t="n">
        <v>46284</v>
      </c>
      <c r="F92" t="inlineStr">
        <is>
          <t>VÄRMLANDS LÄN</t>
        </is>
      </c>
      <c r="G92" t="inlineStr">
        <is>
          <t>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46284</v>
      </c>
      <c r="F93" t="inlineStr">
        <is>
          <t>VÄRMLANDS LÄN</t>
        </is>
      </c>
      <c r="G93" t="inlineStr">
        <is>
          <t>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45287</v>
      </c>
      <c r="E94" s="1" t="n">
        <v>46284</v>
      </c>
      <c r="F94" t="inlineStr">
        <is>
          <t>VÄRMLANDS LÄN</t>
        </is>
      </c>
      <c r="G94" t="inlineStr">
        <is>
          <t>KIL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46284</v>
      </c>
      <c r="F95" t="inlineStr">
        <is>
          <t>VÄRMLANDS LÄN</t>
        </is>
      </c>
      <c r="G95" t="inlineStr">
        <is>
          <t>KIL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46284</v>
      </c>
      <c r="F96" t="inlineStr">
        <is>
          <t>VÄRMLANDS LÄN</t>
        </is>
      </c>
      <c r="G96" t="inlineStr">
        <is>
          <t>KIL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46284</v>
      </c>
      <c r="F97" t="inlineStr">
        <is>
          <t>VÄRMLANDS LÄN</t>
        </is>
      </c>
      <c r="G97" t="inlineStr">
        <is>
          <t>KIL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46284</v>
      </c>
      <c r="F98" t="inlineStr">
        <is>
          <t>VÄRMLANDS LÄN</t>
        </is>
      </c>
      <c r="G98" t="inlineStr">
        <is>
          <t>KIL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45309</v>
      </c>
      <c r="E99" s="1" t="n">
        <v>46284</v>
      </c>
      <c r="F99" t="inlineStr">
        <is>
          <t>VÄRMLANDS LÄN</t>
        </is>
      </c>
      <c r="G99" t="inlineStr">
        <is>
          <t>KIL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46139</v>
      </c>
      <c r="E100" s="1" t="n">
        <v>46284</v>
      </c>
      <c r="F100" t="inlineStr">
        <is>
          <t>VÄRMLANDS LÄN</t>
        </is>
      </c>
      <c r="G100" t="inlineStr">
        <is>
          <t>KIL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46284</v>
      </c>
      <c r="F101" t="inlineStr">
        <is>
          <t>VÄRMLANDS LÄN</t>
        </is>
      </c>
      <c r="G101" t="inlineStr">
        <is>
          <t>KIL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46284</v>
      </c>
      <c r="F102" t="inlineStr">
        <is>
          <t>VÄRMLANDS LÄN</t>
        </is>
      </c>
      <c r="G102" t="inlineStr">
        <is>
          <t>KIL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46284</v>
      </c>
      <c r="F103" t="inlineStr">
        <is>
          <t>VÄRMLANDS LÄN</t>
        </is>
      </c>
      <c r="G103" t="inlineStr">
        <is>
          <t>KIL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46284</v>
      </c>
      <c r="F104" t="inlineStr">
        <is>
          <t>VÄRMLANDS LÄN</t>
        </is>
      </c>
      <c r="G104" t="inlineStr">
        <is>
          <t>KIL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46284</v>
      </c>
      <c r="F105" t="inlineStr">
        <is>
          <t>VÄRMLANDS LÄN</t>
        </is>
      </c>
      <c r="G105" t="inlineStr">
        <is>
          <t>KIL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46284</v>
      </c>
      <c r="F106" t="inlineStr">
        <is>
          <t>VÄRMLANDS LÄN</t>
        </is>
      </c>
      <c r="G106" t="inlineStr">
        <is>
          <t>KIL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46284</v>
      </c>
      <c r="F107" t="inlineStr">
        <is>
          <t>VÄRMLANDS LÄN</t>
        </is>
      </c>
      <c r="G107" t="inlineStr">
        <is>
          <t>KIL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46284</v>
      </c>
      <c r="F108" t="inlineStr">
        <is>
          <t>VÄRMLANDS LÄN</t>
        </is>
      </c>
      <c r="G108" t="inlineStr">
        <is>
          <t>KIL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46284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44942</v>
      </c>
      <c r="E110" s="1" t="n">
        <v>46284</v>
      </c>
      <c r="F110" t="inlineStr">
        <is>
          <t>VÄRMLANDS LÄN</t>
        </is>
      </c>
      <c r="G110" t="inlineStr">
        <is>
          <t>KIL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46284</v>
      </c>
      <c r="F111" t="inlineStr">
        <is>
          <t>VÄRMLANDS LÄN</t>
        </is>
      </c>
      <c r="G111" t="inlineStr">
        <is>
          <t>KIL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46284</v>
      </c>
      <c r="F112" t="inlineStr">
        <is>
          <t>VÄRMLANDS LÄN</t>
        </is>
      </c>
      <c r="G112" t="inlineStr">
        <is>
          <t>KIL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46284</v>
      </c>
      <c r="F113" t="inlineStr">
        <is>
          <t>VÄRMLANDS LÄN</t>
        </is>
      </c>
      <c r="G113" t="inlineStr">
        <is>
          <t>KIL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46284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46284</v>
      </c>
      <c r="F115" t="inlineStr">
        <is>
          <t>VÄRMLANDS LÄN</t>
        </is>
      </c>
      <c r="G115" t="inlineStr">
        <is>
          <t>KIL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46284</v>
      </c>
      <c r="F116" t="inlineStr">
        <is>
          <t>VÄRMLANDS LÄN</t>
        </is>
      </c>
      <c r="G116" t="inlineStr">
        <is>
          <t>KIL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46284</v>
      </c>
      <c r="F117" t="inlineStr">
        <is>
          <t>VÄRMLANDS LÄN</t>
        </is>
      </c>
      <c r="G117" t="inlineStr">
        <is>
          <t>KIL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46284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46284</v>
      </c>
      <c r="F119" t="inlineStr">
        <is>
          <t>VÄRMLANDS LÄN</t>
        </is>
      </c>
      <c r="G119" t="inlineStr">
        <is>
          <t>KIL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46284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46284</v>
      </c>
      <c r="F121" t="inlineStr">
        <is>
          <t>VÄRMLANDS LÄN</t>
        </is>
      </c>
      <c r="G121" t="inlineStr">
        <is>
          <t>KIL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46284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46284</v>
      </c>
      <c r="F123" t="inlineStr">
        <is>
          <t>VÄRMLANDS LÄN</t>
        </is>
      </c>
      <c r="G123" t="inlineStr">
        <is>
          <t>KIL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17635-2022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46284</v>
      </c>
      <c r="F124" t="inlineStr">
        <is>
          <t>VÄRMLANDS LÄN</t>
        </is>
      </c>
      <c r="G124" t="inlineStr">
        <is>
          <t>KIL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45934</v>
      </c>
      <c r="E125" s="1" t="n">
        <v>46284</v>
      </c>
      <c r="F125" t="inlineStr">
        <is>
          <t>VÄRMLANDS LÄN</t>
        </is>
      </c>
      <c r="G125" t="inlineStr">
        <is>
          <t>KIL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46284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46284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46284</v>
      </c>
      <c r="F128" t="inlineStr">
        <is>
          <t>VÄRMLANDS LÄN</t>
        </is>
      </c>
      <c r="G128" t="inlineStr">
        <is>
          <t>KIL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46284</v>
      </c>
      <c r="F129" t="inlineStr">
        <is>
          <t>VÄRMLANDS LÄN</t>
        </is>
      </c>
      <c r="G129" t="inlineStr">
        <is>
          <t>KIL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46284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46284</v>
      </c>
      <c r="F131" t="inlineStr">
        <is>
          <t>VÄRMLANDS LÄN</t>
        </is>
      </c>
      <c r="G131" t="inlineStr">
        <is>
          <t>KIL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46284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46284</v>
      </c>
      <c r="F133" t="inlineStr">
        <is>
          <t>VÄRMLANDS LÄN</t>
        </is>
      </c>
      <c r="G133" t="inlineStr">
        <is>
          <t>KIL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46284</v>
      </c>
      <c r="F134" t="inlineStr">
        <is>
          <t>VÄRMLANDS LÄN</t>
        </is>
      </c>
      <c r="G134" t="inlineStr">
        <is>
          <t>KIL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46284</v>
      </c>
      <c r="F135" t="inlineStr">
        <is>
          <t>VÄRMLANDS LÄN</t>
        </is>
      </c>
      <c r="G135" t="inlineStr">
        <is>
          <t>KIL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46284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46284</v>
      </c>
      <c r="F137" t="inlineStr">
        <is>
          <t>VÄRMLANDS LÄN</t>
        </is>
      </c>
      <c r="G137" t="inlineStr">
        <is>
          <t>KIL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46284</v>
      </c>
      <c r="F138" t="inlineStr">
        <is>
          <t>VÄRMLANDS LÄN</t>
        </is>
      </c>
      <c r="G138" t="inlineStr">
        <is>
          <t>KIL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45640</v>
      </c>
      <c r="E139" s="1" t="n">
        <v>46284</v>
      </c>
      <c r="F139" t="inlineStr">
        <is>
          <t>VÄRMLANDS LÄN</t>
        </is>
      </c>
      <c r="G139" t="inlineStr">
        <is>
          <t>KIL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46284</v>
      </c>
      <c r="F140" t="inlineStr">
        <is>
          <t>VÄRMLANDS LÄN</t>
        </is>
      </c>
      <c r="G140" t="inlineStr">
        <is>
          <t>KIL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46284</v>
      </c>
      <c r="F141" t="inlineStr">
        <is>
          <t>VÄRMLANDS LÄN</t>
        </is>
      </c>
      <c r="G141" t="inlineStr">
        <is>
          <t>KIL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46284</v>
      </c>
      <c r="F142" t="inlineStr">
        <is>
          <t>VÄRMLANDS LÄN</t>
        </is>
      </c>
      <c r="G142" t="inlineStr">
        <is>
          <t>KIL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46284</v>
      </c>
      <c r="F143" t="inlineStr">
        <is>
          <t>VÄRMLANDS LÄN</t>
        </is>
      </c>
      <c r="G143" t="inlineStr">
        <is>
          <t>KIL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46284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46284</v>
      </c>
      <c r="F145" t="inlineStr">
        <is>
          <t>VÄRMLANDS LÄN</t>
        </is>
      </c>
      <c r="G145" t="inlineStr">
        <is>
          <t>KIL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46284</v>
      </c>
      <c r="F146" t="inlineStr">
        <is>
          <t>VÄRMLANDS LÄN</t>
        </is>
      </c>
      <c r="G146" t="inlineStr">
        <is>
          <t>KIL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45978</v>
      </c>
      <c r="E147" s="1" t="n">
        <v>46284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45109</v>
      </c>
      <c r="E148" s="1" t="n">
        <v>46284</v>
      </c>
      <c r="F148" t="inlineStr">
        <is>
          <t>VÄRMLANDS LÄN</t>
        </is>
      </c>
      <c r="G148" t="inlineStr">
        <is>
          <t>KIL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34408-2024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45525</v>
      </c>
      <c r="E149" s="1" t="n">
        <v>46284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46284</v>
      </c>
      <c r="F150" t="inlineStr">
        <is>
          <t>VÄRMLANDS LÄN</t>
        </is>
      </c>
      <c r="G150" t="inlineStr">
        <is>
          <t>KIL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56957-2025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45978</v>
      </c>
      <c r="E151" s="1" t="n">
        <v>46284</v>
      </c>
      <c r="F151" t="inlineStr">
        <is>
          <t>VÄRMLANDS LÄN</t>
        </is>
      </c>
      <c r="G151" t="inlineStr">
        <is>
          <t>KIL</t>
        </is>
      </c>
      <c r="H151" t="inlineStr">
        <is>
          <t>Kommuner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45709</v>
      </c>
      <c r="E152" s="1" t="n">
        <v>46284</v>
      </c>
      <c r="F152" t="inlineStr">
        <is>
          <t>VÄRMLANDS LÄN</t>
        </is>
      </c>
      <c r="G152" t="inlineStr">
        <is>
          <t>KIL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45349</v>
      </c>
      <c r="E153" s="1" t="n">
        <v>46284</v>
      </c>
      <c r="F153" t="inlineStr">
        <is>
          <t>VÄRMLANDS LÄN</t>
        </is>
      </c>
      <c r="G153" t="inlineStr">
        <is>
          <t>KIL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46284</v>
      </c>
      <c r="F154" t="inlineStr">
        <is>
          <t>VÄRMLANDS LÄN</t>
        </is>
      </c>
      <c r="G154" t="inlineStr">
        <is>
          <t>KIL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45404</v>
      </c>
      <c r="E155" s="1" t="n">
        <v>46284</v>
      </c>
      <c r="F155" t="inlineStr">
        <is>
          <t>VÄRMLANDS LÄN</t>
        </is>
      </c>
      <c r="G155" t="inlineStr">
        <is>
          <t>KIL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73251-2021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46284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46284</v>
      </c>
      <c r="F157" t="inlineStr">
        <is>
          <t>VÄRMLANDS LÄN</t>
        </is>
      </c>
      <c r="G157" t="inlineStr">
        <is>
          <t>KIL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46284</v>
      </c>
      <c r="F158" t="inlineStr">
        <is>
          <t>VÄRMLANDS LÄN</t>
        </is>
      </c>
      <c r="G158" t="inlineStr">
        <is>
          <t>KIL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46284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46284</v>
      </c>
      <c r="F160" t="inlineStr">
        <is>
          <t>VÄRMLANDS LÄN</t>
        </is>
      </c>
      <c r="G160" t="inlineStr">
        <is>
          <t>KIL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46284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46284</v>
      </c>
      <c r="F162" t="inlineStr">
        <is>
          <t>VÄRMLANDS LÄN</t>
        </is>
      </c>
      <c r="G162" t="inlineStr">
        <is>
          <t>KIL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46284</v>
      </c>
      <c r="F163" t="inlineStr">
        <is>
          <t>VÄRMLANDS LÄN</t>
        </is>
      </c>
      <c r="G163" t="inlineStr">
        <is>
          <t>KIL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46284</v>
      </c>
      <c r="F164" t="inlineStr">
        <is>
          <t>VÄRMLANDS LÄN</t>
        </is>
      </c>
      <c r="G164" t="inlineStr">
        <is>
          <t>KIL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46284</v>
      </c>
      <c r="F165" t="inlineStr">
        <is>
          <t>VÄRMLANDS LÄN</t>
        </is>
      </c>
      <c r="G165" t="inlineStr">
        <is>
          <t>KIL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46284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46284</v>
      </c>
      <c r="F167" t="inlineStr">
        <is>
          <t>VÄRMLANDS LÄN</t>
        </is>
      </c>
      <c r="G167" t="inlineStr">
        <is>
          <t>KIL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45061</v>
      </c>
      <c r="E168" s="1" t="n">
        <v>46284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46284</v>
      </c>
      <c r="F169" t="inlineStr">
        <is>
          <t>VÄRMLANDS LÄN</t>
        </is>
      </c>
      <c r="G169" t="inlineStr">
        <is>
          <t>KIL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46284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45586</v>
      </c>
      <c r="E171" s="1" t="n">
        <v>46284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45287</v>
      </c>
      <c r="E172" s="1" t="n">
        <v>46284</v>
      </c>
      <c r="F172" t="inlineStr">
        <is>
          <t>VÄRMLANDS LÄN</t>
        </is>
      </c>
      <c r="G172" t="inlineStr">
        <is>
          <t>KIL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44927</v>
      </c>
      <c r="E173" s="1" t="n">
        <v>46284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46284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46284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46284</v>
      </c>
      <c r="F176" t="inlineStr">
        <is>
          <t>VÄRMLANDS LÄN</t>
        </is>
      </c>
      <c r="G176" t="inlineStr">
        <is>
          <t>KIL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46284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46284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46284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46284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46284</v>
      </c>
      <c r="F181" t="inlineStr">
        <is>
          <t>VÄRMLANDS LÄN</t>
        </is>
      </c>
      <c r="G181" t="inlineStr">
        <is>
          <t>KIL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44941</v>
      </c>
      <c r="E182" s="1" t="n">
        <v>46284</v>
      </c>
      <c r="F182" t="inlineStr">
        <is>
          <t>VÄRMLANDS LÄN</t>
        </is>
      </c>
      <c r="G182" t="inlineStr">
        <is>
          <t>KIL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46284</v>
      </c>
      <c r="F183" t="inlineStr">
        <is>
          <t>VÄRMLANDS LÄN</t>
        </is>
      </c>
      <c r="G183" t="inlineStr">
        <is>
          <t>KIL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46284</v>
      </c>
      <c r="F184" t="inlineStr">
        <is>
          <t>VÄRMLANDS LÄN</t>
        </is>
      </c>
      <c r="G184" t="inlineStr">
        <is>
          <t>KIL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46284</v>
      </c>
      <c r="F185" t="inlineStr">
        <is>
          <t>VÄRMLANDS LÄN</t>
        </is>
      </c>
      <c r="G185" t="inlineStr">
        <is>
          <t>KIL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46284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46284</v>
      </c>
      <c r="F187" t="inlineStr">
        <is>
          <t>VÄRMLANDS LÄN</t>
        </is>
      </c>
      <c r="G187" t="inlineStr">
        <is>
          <t>KIL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46284</v>
      </c>
      <c r="F188" t="inlineStr">
        <is>
          <t>VÄRMLANDS LÄN</t>
        </is>
      </c>
      <c r="G188" t="inlineStr">
        <is>
          <t>KIL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46284</v>
      </c>
      <c r="F189" t="inlineStr">
        <is>
          <t>VÄRMLANDS LÄN</t>
        </is>
      </c>
      <c r="G189" t="inlineStr">
        <is>
          <t>KIL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46284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46284</v>
      </c>
      <c r="F191" t="inlineStr">
        <is>
          <t>VÄRMLANDS LÄN</t>
        </is>
      </c>
      <c r="G191" t="inlineStr">
        <is>
          <t>KIL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46284</v>
      </c>
      <c r="F192" t="inlineStr">
        <is>
          <t>VÄRMLANDS LÄN</t>
        </is>
      </c>
      <c r="G192" t="inlineStr">
        <is>
          <t>KIL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46284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46284</v>
      </c>
      <c r="F194" t="inlineStr">
        <is>
          <t>VÄRMLANDS LÄN</t>
        </is>
      </c>
      <c r="G194" t="inlineStr">
        <is>
          <t>KIL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46284</v>
      </c>
      <c r="F195" t="inlineStr">
        <is>
          <t>VÄRMLANDS LÄN</t>
        </is>
      </c>
      <c r="G195" t="inlineStr">
        <is>
          <t>KIL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46284</v>
      </c>
      <c r="F196" t="inlineStr">
        <is>
          <t>VÄRMLANDS LÄN</t>
        </is>
      </c>
      <c r="G196" t="inlineStr">
        <is>
          <t>KIL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46284</v>
      </c>
      <c r="F197" t="inlineStr">
        <is>
          <t>VÄRMLANDS LÄN</t>
        </is>
      </c>
      <c r="G197" t="inlineStr">
        <is>
          <t>KIL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46284</v>
      </c>
      <c r="F198" t="inlineStr">
        <is>
          <t>VÄRMLANDS LÄN</t>
        </is>
      </c>
      <c r="G198" t="inlineStr">
        <is>
          <t>KIL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29698-2024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45484</v>
      </c>
      <c r="E199" s="1" t="n">
        <v>46284</v>
      </c>
      <c r="F199" t="inlineStr">
        <is>
          <t>VÄRMLANDS LÄN</t>
        </is>
      </c>
      <c r="G199" t="inlineStr">
        <is>
          <t>KIL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46284</v>
      </c>
      <c r="F200" t="inlineStr">
        <is>
          <t>VÄRMLANDS LÄN</t>
        </is>
      </c>
      <c r="G200" t="inlineStr">
        <is>
          <t>KIL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27638-2026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46190</v>
      </c>
      <c r="E201" s="1" t="n">
        <v>46284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46284</v>
      </c>
      <c r="F202" t="inlineStr">
        <is>
          <t>VÄRMLANDS LÄN</t>
        </is>
      </c>
      <c r="G202" t="inlineStr">
        <is>
          <t>KIL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46284</v>
      </c>
      <c r="F203" t="inlineStr">
        <is>
          <t>VÄRMLANDS LÄN</t>
        </is>
      </c>
      <c r="G203" t="inlineStr">
        <is>
          <t>KIL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46284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46284</v>
      </c>
      <c r="F205" t="inlineStr">
        <is>
          <t>VÄRMLANDS LÄN</t>
        </is>
      </c>
      <c r="G205" t="inlineStr">
        <is>
          <t>KIL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46284</v>
      </c>
      <c r="F206" t="inlineStr">
        <is>
          <t>VÄRMLANDS LÄN</t>
        </is>
      </c>
      <c r="G206" t="inlineStr">
        <is>
          <t>KIL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46284</v>
      </c>
      <c r="F207" t="inlineStr">
        <is>
          <t>VÄRMLANDS LÄN</t>
        </is>
      </c>
      <c r="G207" t="inlineStr">
        <is>
          <t>KIL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46284</v>
      </c>
      <c r="F208" t="inlineStr">
        <is>
          <t>VÄRMLANDS LÄN</t>
        </is>
      </c>
      <c r="G208" t="inlineStr">
        <is>
          <t>KIL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46284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46284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71728-2021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46284</v>
      </c>
      <c r="F211" t="inlineStr">
        <is>
          <t>VÄRMLANDS LÄN</t>
        </is>
      </c>
      <c r="G211" t="inlineStr">
        <is>
          <t>KIL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46284</v>
      </c>
      <c r="F212" t="inlineStr">
        <is>
          <t>VÄRMLANDS LÄN</t>
        </is>
      </c>
      <c r="G212" t="inlineStr">
        <is>
          <t>KIL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46284</v>
      </c>
      <c r="F213" t="inlineStr">
        <is>
          <t>VÄRMLANDS LÄN</t>
        </is>
      </c>
      <c r="G213" t="inlineStr">
        <is>
          <t>KIL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46284</v>
      </c>
      <c r="F214" t="inlineStr">
        <is>
          <t>VÄRMLANDS LÄN</t>
        </is>
      </c>
      <c r="G214" t="inlineStr">
        <is>
          <t>KIL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44907</v>
      </c>
      <c r="E215" s="1" t="n">
        <v>46284</v>
      </c>
      <c r="F215" t="inlineStr">
        <is>
          <t>VÄRMLANDS LÄN</t>
        </is>
      </c>
      <c r="G215" t="inlineStr">
        <is>
          <t>KIL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46284</v>
      </c>
      <c r="F216" t="inlineStr">
        <is>
          <t>VÄRMLANDS LÄN</t>
        </is>
      </c>
      <c r="G216" t="inlineStr">
        <is>
          <t>KIL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45367</v>
      </c>
      <c r="E217" s="1" t="n">
        <v>46284</v>
      </c>
      <c r="F217" t="inlineStr">
        <is>
          <t>VÄRMLANDS LÄN</t>
        </is>
      </c>
      <c r="G217" t="inlineStr">
        <is>
          <t>KIL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46284</v>
      </c>
      <c r="F218" t="inlineStr">
        <is>
          <t>VÄRMLANDS LÄN</t>
        </is>
      </c>
      <c r="G218" t="inlineStr">
        <is>
          <t>KIL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46284</v>
      </c>
      <c r="F219" t="inlineStr">
        <is>
          <t>VÄRMLANDS LÄN</t>
        </is>
      </c>
      <c r="G219" t="inlineStr">
        <is>
          <t>KIL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46284</v>
      </c>
      <c r="F220" t="inlineStr">
        <is>
          <t>VÄRMLANDS LÄN</t>
        </is>
      </c>
      <c r="G220" t="inlineStr">
        <is>
          <t>KIL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46284</v>
      </c>
      <c r="F221" t="inlineStr">
        <is>
          <t>VÄRMLANDS LÄN</t>
        </is>
      </c>
      <c r="G221" t="inlineStr">
        <is>
          <t>KIL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72073-2021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44544</v>
      </c>
      <c r="E222" s="1" t="n">
        <v>46284</v>
      </c>
      <c r="F222" t="inlineStr">
        <is>
          <t>VÄRMLANDS LÄN</t>
        </is>
      </c>
      <c r="G222" t="inlineStr">
        <is>
          <t>KIL</t>
        </is>
      </c>
      <c r="I222" t="n">
        <v>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46284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46284</v>
      </c>
      <c r="F224" t="inlineStr">
        <is>
          <t>VÄRMLANDS LÄN</t>
        </is>
      </c>
      <c r="G224" t="inlineStr">
        <is>
          <t>KIL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46284</v>
      </c>
      <c r="F225" t="inlineStr">
        <is>
          <t>VÄRMLANDS LÄN</t>
        </is>
      </c>
      <c r="G225" t="inlineStr">
        <is>
          <t>KIL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46284</v>
      </c>
      <c r="F226" t="inlineStr">
        <is>
          <t>VÄRMLANDS LÄN</t>
        </is>
      </c>
      <c r="G226" t="inlineStr">
        <is>
          <t>KIL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46284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46284</v>
      </c>
      <c r="F228" t="inlineStr">
        <is>
          <t>VÄRMLANDS LÄN</t>
        </is>
      </c>
      <c r="G228" t="inlineStr">
        <is>
          <t>KIL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46284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45704</v>
      </c>
      <c r="E230" s="1" t="n">
        <v>46284</v>
      </c>
      <c r="F230" t="inlineStr">
        <is>
          <t>VÄRMLANDS LÄN</t>
        </is>
      </c>
      <c r="G230" t="inlineStr">
        <is>
          <t>KIL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46284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44655</v>
      </c>
      <c r="E232" s="1" t="n">
        <v>46284</v>
      </c>
      <c r="F232" t="inlineStr">
        <is>
          <t>VÄRMLANDS LÄN</t>
        </is>
      </c>
      <c r="G232" t="inlineStr">
        <is>
          <t>KIL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45367</v>
      </c>
      <c r="E233" s="1" t="n">
        <v>46284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57967-2021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46284</v>
      </c>
      <c r="F234" t="inlineStr">
        <is>
          <t>VÄRMLANDS LÄN</t>
        </is>
      </c>
      <c r="G234" t="inlineStr">
        <is>
          <t>KIL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46284</v>
      </c>
      <c r="F235" t="inlineStr">
        <is>
          <t>VÄRMLANDS LÄN</t>
        </is>
      </c>
      <c r="G235" t="inlineStr">
        <is>
          <t>KIL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46284</v>
      </c>
      <c r="F236" t="inlineStr">
        <is>
          <t>VÄRMLANDS LÄN</t>
        </is>
      </c>
      <c r="G236" t="inlineStr">
        <is>
          <t>KIL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45397</v>
      </c>
      <c r="E237" s="1" t="n">
        <v>46284</v>
      </c>
      <c r="F237" t="inlineStr">
        <is>
          <t>VÄRMLANDS LÄN</t>
        </is>
      </c>
      <c r="G237" t="inlineStr">
        <is>
          <t>KIL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46284</v>
      </c>
      <c r="F238" t="inlineStr">
        <is>
          <t>VÄRMLANDS LÄN</t>
        </is>
      </c>
      <c r="G238" t="inlineStr">
        <is>
          <t>KIL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46284</v>
      </c>
      <c r="F239" t="inlineStr">
        <is>
          <t>VÄRMLANDS LÄN</t>
        </is>
      </c>
      <c r="G239" t="inlineStr">
        <is>
          <t>KIL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46284</v>
      </c>
      <c r="F240" t="inlineStr">
        <is>
          <t>VÄRMLANDS LÄN</t>
        </is>
      </c>
      <c r="G240" t="inlineStr">
        <is>
          <t>KIL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46284</v>
      </c>
      <c r="F241" t="inlineStr">
        <is>
          <t>VÄRMLANDS LÄN</t>
        </is>
      </c>
      <c r="G241" t="inlineStr">
        <is>
          <t>KIL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46284</v>
      </c>
      <c r="F242" t="inlineStr">
        <is>
          <t>VÄRMLANDS LÄN</t>
        </is>
      </c>
      <c r="G242" t="inlineStr">
        <is>
          <t>KIL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45642</v>
      </c>
      <c r="E243" s="1" t="n">
        <v>46284</v>
      </c>
      <c r="F243" t="inlineStr">
        <is>
          <t>VÄRMLANDS LÄN</t>
        </is>
      </c>
      <c r="G243" t="inlineStr">
        <is>
          <t>KIL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46284</v>
      </c>
      <c r="F244" t="inlineStr">
        <is>
          <t>VÄRMLANDS LÄN</t>
        </is>
      </c>
      <c r="G244" t="inlineStr">
        <is>
          <t>KIL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44775</v>
      </c>
      <c r="E245" s="1" t="n">
        <v>46284</v>
      </c>
      <c r="F245" t="inlineStr">
        <is>
          <t>VÄRMLANDS LÄN</t>
        </is>
      </c>
      <c r="G245" t="inlineStr">
        <is>
          <t>KIL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45207</v>
      </c>
      <c r="E246" s="1" t="n">
        <v>46284</v>
      </c>
      <c r="F246" t="inlineStr">
        <is>
          <t>VÄRMLANDS LÄN</t>
        </is>
      </c>
      <c r="G246" t="inlineStr">
        <is>
          <t>KIL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44565</v>
      </c>
      <c r="E247" s="1" t="n">
        <v>46284</v>
      </c>
      <c r="F247" t="inlineStr">
        <is>
          <t>VÄRMLANDS LÄN</t>
        </is>
      </c>
      <c r="G247" t="inlineStr">
        <is>
          <t>KIL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46284</v>
      </c>
      <c r="F248" t="inlineStr">
        <is>
          <t>VÄRMLANDS LÄN</t>
        </is>
      </c>
      <c r="G248" t="inlineStr">
        <is>
          <t>KIL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46284</v>
      </c>
      <c r="F249" t="inlineStr">
        <is>
          <t>VÄRMLANDS LÄN</t>
        </is>
      </c>
      <c r="G249" t="inlineStr">
        <is>
          <t>KIL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46284</v>
      </c>
      <c r="F250" t="inlineStr">
        <is>
          <t>VÄRMLANDS LÄN</t>
        </is>
      </c>
      <c r="G250" t="inlineStr">
        <is>
          <t>KIL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45784</v>
      </c>
      <c r="E251" s="1" t="n">
        <v>46284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46284</v>
      </c>
      <c r="F252" t="inlineStr">
        <is>
          <t>VÄRMLANDS LÄN</t>
        </is>
      </c>
      <c r="G252" t="inlineStr">
        <is>
          <t>KIL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46284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46284</v>
      </c>
      <c r="F254" t="inlineStr">
        <is>
          <t>VÄRMLANDS LÄN</t>
        </is>
      </c>
      <c r="G254" t="inlineStr">
        <is>
          <t>KIL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46284</v>
      </c>
      <c r="F255" t="inlineStr">
        <is>
          <t>VÄRMLANDS LÄN</t>
        </is>
      </c>
      <c r="G255" t="inlineStr">
        <is>
          <t>KIL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46284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46282</v>
      </c>
      <c r="E257" s="1" t="n">
        <v>46284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46282</v>
      </c>
      <c r="E258" s="1" t="n">
        <v>46284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46284</v>
      </c>
      <c r="F259" t="inlineStr">
        <is>
          <t>VÄRMLANDS LÄN</t>
        </is>
      </c>
      <c r="G259" t="inlineStr">
        <is>
          <t>KIL</t>
        </is>
      </c>
      <c r="H259" t="inlineStr">
        <is>
          <t>Kommuner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45538</v>
      </c>
      <c r="E260" s="1" t="n">
        <v>46284</v>
      </c>
      <c r="F260" t="inlineStr">
        <is>
          <t>VÄRMLANDS LÄN</t>
        </is>
      </c>
      <c r="G260" t="inlineStr">
        <is>
          <t>KIL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46284</v>
      </c>
      <c r="F261" t="inlineStr">
        <is>
          <t>VÄRMLANDS LÄN</t>
        </is>
      </c>
      <c r="G261" t="inlineStr">
        <is>
          <t>KIL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46284</v>
      </c>
      <c r="F262" t="inlineStr">
        <is>
          <t>VÄRMLANDS LÄN</t>
        </is>
      </c>
      <c r="G262" t="inlineStr">
        <is>
          <t>KIL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46284</v>
      </c>
      <c r="F263" t="inlineStr">
        <is>
          <t>VÄRMLANDS LÄN</t>
        </is>
      </c>
      <c r="G263" t="inlineStr">
        <is>
          <t>KIL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46284</v>
      </c>
      <c r="F264" t="inlineStr">
        <is>
          <t>VÄRMLANDS LÄN</t>
        </is>
      </c>
      <c r="G264" t="inlineStr">
        <is>
          <t>KIL</t>
        </is>
      </c>
      <c r="H264" t="inlineStr">
        <is>
          <t>Kyrkan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46284</v>
      </c>
      <c r="F265" t="inlineStr">
        <is>
          <t>VÄRMLANDS LÄN</t>
        </is>
      </c>
      <c r="G265" t="inlineStr">
        <is>
          <t>KIL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45757</v>
      </c>
      <c r="E266" s="1" t="n">
        <v>46284</v>
      </c>
      <c r="F266" t="inlineStr">
        <is>
          <t>VÄRMLANDS LÄN</t>
        </is>
      </c>
      <c r="G266" t="inlineStr">
        <is>
          <t>KIL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45531</v>
      </c>
      <c r="E267" s="1" t="n">
        <v>46284</v>
      </c>
      <c r="F267" t="inlineStr">
        <is>
          <t>VÄRMLANDS LÄN</t>
        </is>
      </c>
      <c r="G267" t="inlineStr">
        <is>
          <t>KIL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46284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46284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46284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46284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46284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46284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46284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46284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46284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2026-09-19T02:05:59Z</dcterms:created>
  <dcterms:modified xmlns:dcterms="http://purl.org/dc/terms/" xmlns:xsi="http://www.w3.org/2001/XMLSchema-instance" xsi:type="dcterms:W3CDTF">2026-09-19T02:05:59Z</dcterms:modified>
</cp:coreProperties>
</file>