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46199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46199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Gullklöver
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46199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46199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35453-2024</t>
        </is>
      </c>
      <c r="B7" s="1" t="n">
        <v>45531</v>
      </c>
      <c r="C7" s="1" t="n">
        <v>46199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HYPERLINK("https://klasma.github.io/Logging_1715/artfynd/A 35453-2024 artfynd.xlsx", "A 35453-2024")</f>
        <v/>
      </c>
      <c r="T7">
        <f>HYPERLINK("https://klasma.github.io/Logging_1715/kartor/A 35453-2024 karta.png", "A 35453-2024")</f>
        <v/>
      </c>
      <c r="V7">
        <f>HYPERLINK("https://klasma.github.io/Logging_1715/klagomål/A 35453-2024 FSC-klagomål.docx", "A 35453-2024")</f>
        <v/>
      </c>
      <c r="W7">
        <f>HYPERLINK("https://klasma.github.io/Logging_1715/klagomålsmail/A 35453-2024 FSC-klagomål mail.docx", "A 35453-2024")</f>
        <v/>
      </c>
      <c r="X7">
        <f>HYPERLINK("https://klasma.github.io/Logging_1715/tillsyn/A 35453-2024 tillsynsbegäran.docx", "A 35453-2024")</f>
        <v/>
      </c>
      <c r="Y7">
        <f>HYPERLINK("https://klasma.github.io/Logging_1715/tillsynsmail/A 35453-2024 tillsynsbegäran mail.docx", "A 35453-2024")</f>
        <v/>
      </c>
      <c r="Z7">
        <f>HYPERLINK("https://klasma.github.io/Logging_1715/fåglar/A 35453-2024 prioriterade fågelarter.docx", "A 35453-2024")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46199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46199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46199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46199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46199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40853-2024</t>
        </is>
      </c>
      <c r="B13" s="1" t="n">
        <v>45558</v>
      </c>
      <c r="C13" s="1" t="n">
        <v>46199</v>
      </c>
      <c r="D13" t="inlineStr">
        <is>
          <t>VÄRMLANDS LÄN</t>
        </is>
      </c>
      <c r="E13" t="inlineStr">
        <is>
          <t>KIL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HYPERLINK("https://klasma.github.io/Logging_1715/artfynd/A 40853-2024 artfynd.xlsx", "A 40853-2024")</f>
        <v/>
      </c>
      <c r="T13">
        <f>HYPERLINK("https://klasma.github.io/Logging_1715/kartor/A 40853-2024 karta.png", "A 40853-2024")</f>
        <v/>
      </c>
      <c r="V13">
        <f>HYPERLINK("https://klasma.github.io/Logging_1715/klagomål/A 40853-2024 FSC-klagomål.docx", "A 40853-2024")</f>
        <v/>
      </c>
      <c r="W13">
        <f>HYPERLINK("https://klasma.github.io/Logging_1715/klagomålsmail/A 40853-2024 FSC-klagomål mail.docx", "A 40853-2024")</f>
        <v/>
      </c>
      <c r="X13">
        <f>HYPERLINK("https://klasma.github.io/Logging_1715/tillsyn/A 40853-2024 tillsynsbegäran.docx", "A 40853-2024")</f>
        <v/>
      </c>
      <c r="Y13">
        <f>HYPERLINK("https://klasma.github.io/Logging_1715/tillsynsmail/A 40853-2024 tillsynsbegäran mail.docx", "A 40853-2024")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46199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8909-2025</t>
        </is>
      </c>
      <c r="B15" s="1" t="n">
        <v>45713</v>
      </c>
      <c r="C15" s="1" t="n">
        <v>46199</v>
      </c>
      <c r="D15" t="inlineStr">
        <is>
          <t>VÄRMLANDS LÄN</t>
        </is>
      </c>
      <c r="E15" t="inlineStr">
        <is>
          <t>KIL</t>
        </is>
      </c>
      <c r="G15" t="n">
        <v>22.6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HYPERLINK("https://klasma.github.io/Logging_1715/artfynd/A 8909-2025 artfynd.xlsx", "A 8909-2025")</f>
        <v/>
      </c>
      <c r="T15">
        <f>HYPERLINK("https://klasma.github.io/Logging_1715/kartor/A 8909-2025 karta.png", "A 8909-2025")</f>
        <v/>
      </c>
      <c r="V15">
        <f>HYPERLINK("https://klasma.github.io/Logging_1715/klagomål/A 8909-2025 FSC-klagomål.docx", "A 8909-2025")</f>
        <v/>
      </c>
      <c r="W15">
        <f>HYPERLINK("https://klasma.github.io/Logging_1715/klagomålsmail/A 8909-2025 FSC-klagomål mail.docx", "A 8909-2025")</f>
        <v/>
      </c>
      <c r="X15">
        <f>HYPERLINK("https://klasma.github.io/Logging_1715/tillsyn/A 8909-2025 tillsynsbegäran.docx", "A 8909-2025")</f>
        <v/>
      </c>
      <c r="Y15">
        <f>HYPERLINK("https://klasma.github.io/Logging_1715/tillsynsmail/A 8909-2025 tillsynsbegäran mail.docx", "A 8909-2025")</f>
        <v/>
      </c>
    </row>
    <row r="16" ht="15" customHeight="1">
      <c r="A16" t="inlineStr">
        <is>
          <t>A 56642-2022</t>
        </is>
      </c>
      <c r="B16" s="1" t="n">
        <v>44893</v>
      </c>
      <c r="C16" s="1" t="n">
        <v>46199</v>
      </c>
      <c r="D16" t="inlineStr">
        <is>
          <t>VÄRMLANDS LÄN</t>
        </is>
      </c>
      <c r="E16" t="inlineStr">
        <is>
          <t>KIL</t>
        </is>
      </c>
      <c r="F16" t="inlineStr">
        <is>
          <t>Bergvik skog väst AB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HYPERLINK("https://klasma.github.io/Logging_1715/artfynd/A 56642-2022 artfynd.xlsx", "A 56642-2022")</f>
        <v/>
      </c>
      <c r="T16">
        <f>HYPERLINK("https://klasma.github.io/Logging_1715/kartor/A 56642-2022 karta.png", "A 56642-2022")</f>
        <v/>
      </c>
      <c r="V16">
        <f>HYPERLINK("https://klasma.github.io/Logging_1715/klagomål/A 56642-2022 FSC-klagomål.docx", "A 56642-2022")</f>
        <v/>
      </c>
      <c r="W16">
        <f>HYPERLINK("https://klasma.github.io/Logging_1715/klagomålsmail/A 56642-2022 FSC-klagomål mail.docx", "A 56642-2022")</f>
        <v/>
      </c>
      <c r="X16">
        <f>HYPERLINK("https://klasma.github.io/Logging_1715/tillsyn/A 56642-2022 tillsynsbegäran.docx", "A 56642-2022")</f>
        <v/>
      </c>
      <c r="Y16">
        <f>HYPERLINK("https://klasma.github.io/Logging_1715/tillsynsmail/A 56642-2022 tillsynsbegäran mail.docx", "A 56642-2022")</f>
        <v/>
      </c>
    </row>
    <row r="17" ht="15" customHeight="1">
      <c r="A17" t="inlineStr">
        <is>
          <t>A 38039-2024</t>
        </is>
      </c>
      <c r="B17" s="1" t="n">
        <v>45544</v>
      </c>
      <c r="C17" s="1" t="n">
        <v>46199</v>
      </c>
      <c r="D17" t="inlineStr">
        <is>
          <t>VÄRMLANDS LÄN</t>
        </is>
      </c>
      <c r="E17" t="inlineStr">
        <is>
          <t>KIL</t>
        </is>
      </c>
      <c r="G17" t="n">
        <v>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HYPERLINK("https://klasma.github.io/Logging_1715/artfynd/A 38039-2024 artfynd.xlsx", "A 38039-2024")</f>
        <v/>
      </c>
      <c r="T17">
        <f>HYPERLINK("https://klasma.github.io/Logging_1715/kartor/A 38039-2024 karta.png", "A 38039-2024")</f>
        <v/>
      </c>
      <c r="V17">
        <f>HYPERLINK("https://klasma.github.io/Logging_1715/klagomål/A 38039-2024 FSC-klagomål.docx", "A 38039-2024")</f>
        <v/>
      </c>
      <c r="W17">
        <f>HYPERLINK("https://klasma.github.io/Logging_1715/klagomålsmail/A 38039-2024 FSC-klagomål mail.docx", "A 38039-2024")</f>
        <v/>
      </c>
      <c r="X17">
        <f>HYPERLINK("https://klasma.github.io/Logging_1715/tillsyn/A 38039-2024 tillsynsbegäran.docx", "A 38039-2024")</f>
        <v/>
      </c>
      <c r="Y17">
        <f>HYPERLINK("https://klasma.github.io/Logging_1715/tillsynsmail/A 38039-2024 tillsynsbegäran mail.docx", "A 38039-2024")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46199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46199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51174-2021</t>
        </is>
      </c>
      <c r="B20" s="1" t="n">
        <v>44461</v>
      </c>
      <c r="C20" s="1" t="n">
        <v>46199</v>
      </c>
      <c r="D20" t="inlineStr">
        <is>
          <t>VÄRMLANDS LÄN</t>
        </is>
      </c>
      <c r="E20" t="inlineStr">
        <is>
          <t>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16874-2022</t>
        </is>
      </c>
      <c r="B21" s="1" t="n">
        <v>44675</v>
      </c>
      <c r="C21" s="1" t="n">
        <v>46199</v>
      </c>
      <c r="D21" t="inlineStr">
        <is>
          <t>VÄRMLANDS LÄN</t>
        </is>
      </c>
      <c r="E21" t="inlineStr">
        <is>
          <t>KIL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46199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46199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46199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46199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46199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46199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46199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46199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46199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46199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46199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46199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46199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46199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46199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46199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46199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46199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46199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46199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46199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46199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46199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46199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46199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46199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46199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46199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46199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46199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46199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</v>
      </c>
      <c r="C60" s="1" t="n">
        <v>46199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</v>
      </c>
      <c r="C61" s="1" t="n">
        <v>46199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46199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46199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53416-2023</t>
        </is>
      </c>
      <c r="B64" s="1" t="n">
        <v>45229</v>
      </c>
      <c r="C64" s="1" t="n">
        <v>46199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62807-2023</t>
        </is>
      </c>
      <c r="B65" s="1" t="n">
        <v>45271</v>
      </c>
      <c r="C65" s="1" t="n">
        <v>46199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14675-2024</t>
        </is>
      </c>
      <c r="B66" s="1" t="n">
        <v>45397</v>
      </c>
      <c r="C66" s="1" t="n">
        <v>46199</v>
      </c>
      <c r="D66" t="inlineStr">
        <is>
          <t>VÄRMLANDS LÄN</t>
        </is>
      </c>
      <c r="E66" t="inlineStr">
        <is>
          <t>KIL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41074-2022</t>
        </is>
      </c>
      <c r="B67" s="1" t="n">
        <v>44825</v>
      </c>
      <c r="C67" s="1" t="n">
        <v>46199</v>
      </c>
      <c r="D67" t="inlineStr">
        <is>
          <t>VÄRMLANDS LÄN</t>
        </is>
      </c>
      <c r="E67" t="inlineStr">
        <is>
          <t>KIL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17946-2024</t>
        </is>
      </c>
      <c r="B68" s="1" t="n">
        <v>45419</v>
      </c>
      <c r="C68" s="1" t="n">
        <v>46199</v>
      </c>
      <c r="D68" t="inlineStr">
        <is>
          <t>VÄRMLANDS LÄN</t>
        </is>
      </c>
      <c r="E68" t="inlineStr">
        <is>
          <t>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46117-2022</t>
        </is>
      </c>
      <c r="B69" s="1" t="n">
        <v>44847</v>
      </c>
      <c r="C69" s="1" t="n">
        <v>46199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59064-2023</t>
        </is>
      </c>
      <c r="B70" s="1" t="n">
        <v>45252</v>
      </c>
      <c r="C70" s="1" t="n">
        <v>46199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59064-2023 karta knärot.png", "A 59064-2023")</f>
        <v/>
      </c>
      <c r="V70">
        <f>HYPERLINK("https://klasma.github.io/Logging_1715/klagomål/A 59064-2023 FSC-klagomål.docx", "A 59064-2023")</f>
        <v/>
      </c>
      <c r="W70">
        <f>HYPERLINK("https://klasma.github.io/Logging_1715/klagomålsmail/A 59064-2023 FSC-klagomål mail.docx", "A 59064-2023")</f>
        <v/>
      </c>
      <c r="X70">
        <f>HYPERLINK("https://klasma.github.io/Logging_1715/tillsyn/A 59064-2023 tillsynsbegäran.docx", "A 59064-2023")</f>
        <v/>
      </c>
      <c r="Y70">
        <f>HYPERLINK("https://klasma.github.io/Logging_1715/tillsynsmail/A 59064-2023 tillsynsbegäran mail.docx", "A 59064-2023")</f>
        <v/>
      </c>
    </row>
    <row r="71" ht="15" customHeight="1">
      <c r="A71" t="inlineStr">
        <is>
          <t>A 12652-2024</t>
        </is>
      </c>
      <c r="B71" s="1" t="n">
        <v>45384</v>
      </c>
      <c r="C71" s="1" t="n">
        <v>46199</v>
      </c>
      <c r="D71" t="inlineStr">
        <is>
          <t>VÄRMLANDS LÄN</t>
        </is>
      </c>
      <c r="E71" t="inlineStr">
        <is>
          <t>KIL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14984-2024</t>
        </is>
      </c>
      <c r="B72" s="1" t="n">
        <v>45399</v>
      </c>
      <c r="C72" s="1" t="n">
        <v>46199</v>
      </c>
      <c r="D72" t="inlineStr">
        <is>
          <t>VÄRMLANDS LÄN</t>
        </is>
      </c>
      <c r="E72" t="inlineStr">
        <is>
          <t>KIL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14987-2024</t>
        </is>
      </c>
      <c r="B73" s="1" t="n">
        <v>45399</v>
      </c>
      <c r="C73" s="1" t="n">
        <v>46199</v>
      </c>
      <c r="D73" t="inlineStr">
        <is>
          <t>VÄRMLANDS LÄN</t>
        </is>
      </c>
      <c r="E73" t="inlineStr">
        <is>
          <t>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14954-2024</t>
        </is>
      </c>
      <c r="B74" s="1" t="n">
        <v>45398</v>
      </c>
      <c r="C74" s="1" t="n">
        <v>46199</v>
      </c>
      <c r="D74" t="inlineStr">
        <is>
          <t>VÄRMLANDS LÄN</t>
        </is>
      </c>
      <c r="E74" t="inlineStr">
        <is>
          <t>KIL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65002-2023</t>
        </is>
      </c>
      <c r="B75" s="1" t="n">
        <v>45287</v>
      </c>
      <c r="C75" s="1" t="n">
        <v>46199</v>
      </c>
      <c r="D75" t="inlineStr">
        <is>
          <t>VÄRMLANDS LÄN</t>
        </is>
      </c>
      <c r="E75" t="inlineStr">
        <is>
          <t>KIL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46288-2022</t>
        </is>
      </c>
      <c r="B76" s="1" t="n">
        <v>44847</v>
      </c>
      <c r="C76" s="1" t="n">
        <v>46199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46290-2022</t>
        </is>
      </c>
      <c r="B77" s="1" t="n">
        <v>44847</v>
      </c>
      <c r="C77" s="1" t="n">
        <v>46199</v>
      </c>
      <c r="D77" t="inlineStr">
        <is>
          <t>VÄRMLANDS LÄN</t>
        </is>
      </c>
      <c r="E77" t="inlineStr">
        <is>
          <t>KIL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57220-2024</t>
        </is>
      </c>
      <c r="B78" s="1" t="n">
        <v>45629</v>
      </c>
      <c r="C78" s="1" t="n">
        <v>46199</v>
      </c>
      <c r="D78" t="inlineStr">
        <is>
          <t>VÄRMLANDS LÄN</t>
        </is>
      </c>
      <c r="E78" t="inlineStr">
        <is>
          <t>KIL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3-2023</t>
        </is>
      </c>
      <c r="B79" s="1" t="n">
        <v>44927</v>
      </c>
      <c r="C79" s="1" t="n">
        <v>46199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65008-2023</t>
        </is>
      </c>
      <c r="B80" s="1" t="n">
        <v>45287</v>
      </c>
      <c r="C80" s="1" t="n">
        <v>46199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10635-2024</t>
        </is>
      </c>
      <c r="B81" s="1" t="n">
        <v>45367</v>
      </c>
      <c r="C81" s="1" t="n">
        <v>46199</v>
      </c>
      <c r="D81" t="inlineStr">
        <is>
          <t>VÄRMLANDS LÄN</t>
        </is>
      </c>
      <c r="E81" t="inlineStr">
        <is>
          <t>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57011-2025</t>
        </is>
      </c>
      <c r="B82" s="1" t="n">
        <v>45978</v>
      </c>
      <c r="C82" s="1" t="n">
        <v>46199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46199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45599-2023</t>
        </is>
      </c>
      <c r="B84" s="1" t="n">
        <v>45194</v>
      </c>
      <c r="C84" s="1" t="n">
        <v>46199</v>
      </c>
      <c r="D84" t="inlineStr">
        <is>
          <t>VÄRMLANDS LÄN</t>
        </is>
      </c>
      <c r="E84" t="inlineStr">
        <is>
          <t>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11558-2025</t>
        </is>
      </c>
      <c r="B85" s="1" t="n">
        <v>45727</v>
      </c>
      <c r="C85" s="1" t="n">
        <v>46199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24262-2025</t>
        </is>
      </c>
      <c r="B86" s="1" t="n">
        <v>45797</v>
      </c>
      <c r="C86" s="1" t="n">
        <v>46199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62667-2023</t>
        </is>
      </c>
      <c r="B87" s="1" t="n">
        <v>45271</v>
      </c>
      <c r="C87" s="1" t="n">
        <v>46199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40742-2025</t>
        </is>
      </c>
      <c r="B88" s="1" t="n">
        <v>45897</v>
      </c>
      <c r="C88" s="1" t="n">
        <v>46199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242-2024</t>
        </is>
      </c>
      <c r="B89" s="1" t="n">
        <v>45294</v>
      </c>
      <c r="C89" s="1" t="n">
        <v>46199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15472-2025</t>
        </is>
      </c>
      <c r="B90" s="1" t="n">
        <v>45747</v>
      </c>
      <c r="C90" s="1" t="n">
        <v>46199</v>
      </c>
      <c r="D90" t="inlineStr">
        <is>
          <t>VÄRMLANDS LÄN</t>
        </is>
      </c>
      <c r="E90" t="inlineStr">
        <is>
          <t>KIL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57211-2024</t>
        </is>
      </c>
      <c r="B91" s="1" t="n">
        <v>45629</v>
      </c>
      <c r="C91" s="1" t="n">
        <v>46199</v>
      </c>
      <c r="D91" t="inlineStr">
        <is>
          <t>VÄRMLANDS LÄN</t>
        </is>
      </c>
      <c r="E91" t="inlineStr">
        <is>
          <t>KIL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22566-2025</t>
        </is>
      </c>
      <c r="B92" s="1" t="n">
        <v>45789</v>
      </c>
      <c r="C92" s="1" t="n">
        <v>46199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35611-2024</t>
        </is>
      </c>
      <c r="B93" s="1" t="n">
        <v>45531</v>
      </c>
      <c r="C93" s="1" t="n">
        <v>46199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45591-2023</t>
        </is>
      </c>
      <c r="B94" s="1" t="n">
        <v>45194</v>
      </c>
      <c r="C94" s="1" t="n">
        <v>46199</v>
      </c>
      <c r="D94" t="inlineStr">
        <is>
          <t>VÄRMLANDS LÄN</t>
        </is>
      </c>
      <c r="E94" t="inlineStr">
        <is>
          <t>KIL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36795-2024</t>
        </is>
      </c>
      <c r="B95" s="1" t="n">
        <v>45538</v>
      </c>
      <c r="C95" s="1" t="n">
        <v>46199</v>
      </c>
      <c r="D95" t="inlineStr">
        <is>
          <t>VÄRMLANDS LÄN</t>
        </is>
      </c>
      <c r="E95" t="inlineStr">
        <is>
          <t>KIL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46199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26978-2025</t>
        </is>
      </c>
      <c r="B97" s="1" t="n">
        <v>45811</v>
      </c>
      <c r="C97" s="1" t="n">
        <v>46199</v>
      </c>
      <c r="D97" t="inlineStr">
        <is>
          <t>VÄRMLANDS LÄN</t>
        </is>
      </c>
      <c r="E97" t="inlineStr">
        <is>
          <t>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26968-2025</t>
        </is>
      </c>
      <c r="B98" s="1" t="n">
        <v>45811</v>
      </c>
      <c r="C98" s="1" t="n">
        <v>46199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20745-2024</t>
        </is>
      </c>
      <c r="B99" s="1" t="n">
        <v>45436</v>
      </c>
      <c r="C99" s="1" t="n">
        <v>46199</v>
      </c>
      <c r="D99" t="inlineStr">
        <is>
          <t>VÄRMLANDS LÄN</t>
        </is>
      </c>
      <c r="E99" t="inlineStr">
        <is>
          <t>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57967-2021</t>
        </is>
      </c>
      <c r="B100" s="1" t="n">
        <v>44487</v>
      </c>
      <c r="C100" s="1" t="n">
        <v>46199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56957-2025</t>
        </is>
      </c>
      <c r="B101" s="1" t="n">
        <v>45978</v>
      </c>
      <c r="C101" s="1" t="n">
        <v>46199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</v>
      </c>
      <c r="C102" s="1" t="n">
        <v>46199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22798-2024</t>
        </is>
      </c>
      <c r="B103" s="1" t="n">
        <v>45448</v>
      </c>
      <c r="C103" s="1" t="n">
        <v>46199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666-2023</t>
        </is>
      </c>
      <c r="B104" s="1" t="n">
        <v>44930</v>
      </c>
      <c r="C104" s="1" t="n">
        <v>46199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45786-2025</t>
        </is>
      </c>
      <c r="B105" s="1" t="n">
        <v>45923</v>
      </c>
      <c r="C105" s="1" t="n">
        <v>46199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3996-2022</t>
        </is>
      </c>
      <c r="B106" s="1" t="n">
        <v>44587</v>
      </c>
      <c r="C106" s="1" t="n">
        <v>46199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30260-2025</t>
        </is>
      </c>
      <c r="B107" s="1" t="n">
        <v>45827</v>
      </c>
      <c r="C107" s="1" t="n">
        <v>46199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20476-2024</t>
        </is>
      </c>
      <c r="B108" s="1" t="n">
        <v>45435</v>
      </c>
      <c r="C108" s="1" t="n">
        <v>46199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30584-2025</t>
        </is>
      </c>
      <c r="B109" s="1" t="n">
        <v>45831</v>
      </c>
      <c r="C109" s="1" t="n">
        <v>46199</v>
      </c>
      <c r="D109" t="inlineStr">
        <is>
          <t>VÄRMLANDS LÄN</t>
        </is>
      </c>
      <c r="E109" t="inlineStr">
        <is>
          <t>KIL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61436-2025</t>
        </is>
      </c>
      <c r="B110" s="1" t="n">
        <v>46001</v>
      </c>
      <c r="C110" s="1" t="n">
        <v>46199</v>
      </c>
      <c r="D110" t="inlineStr">
        <is>
          <t>VÄRMLANDS LÄN</t>
        </is>
      </c>
      <c r="E110" t="inlineStr">
        <is>
          <t>KIL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47798-2025</t>
        </is>
      </c>
      <c r="B111" s="1" t="n">
        <v>45931</v>
      </c>
      <c r="C111" s="1" t="n">
        <v>46199</v>
      </c>
      <c r="D111" t="inlineStr">
        <is>
          <t>VÄRMLANDS LÄN</t>
        </is>
      </c>
      <c r="E111" t="inlineStr">
        <is>
          <t>KIL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47804-2025</t>
        </is>
      </c>
      <c r="B112" s="1" t="n">
        <v>45931</v>
      </c>
      <c r="C112" s="1" t="n">
        <v>46199</v>
      </c>
      <c r="D112" t="inlineStr">
        <is>
          <t>VÄRMLANDS LÄN</t>
        </is>
      </c>
      <c r="E112" t="inlineStr">
        <is>
          <t>KIL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31559-2025</t>
        </is>
      </c>
      <c r="B113" s="1" t="n">
        <v>45833</v>
      </c>
      <c r="C113" s="1" t="n">
        <v>46199</v>
      </c>
      <c r="D113" t="inlineStr">
        <is>
          <t>VÄRMLANDS LÄN</t>
        </is>
      </c>
      <c r="E113" t="inlineStr">
        <is>
          <t>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47801-2025</t>
        </is>
      </c>
      <c r="B114" s="1" t="n">
        <v>45931</v>
      </c>
      <c r="C114" s="1" t="n">
        <v>46199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47784-2025</t>
        </is>
      </c>
      <c r="B115" s="1" t="n">
        <v>45931</v>
      </c>
      <c r="C115" s="1" t="n">
        <v>46199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47722-2025</t>
        </is>
      </c>
      <c r="B116" s="1" t="n">
        <v>45931</v>
      </c>
      <c r="C116" s="1" t="n">
        <v>46199</v>
      </c>
      <c r="D116" t="inlineStr">
        <is>
          <t>VÄRMLANDS LÄN</t>
        </is>
      </c>
      <c r="E116" t="inlineStr">
        <is>
          <t>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47704-2025</t>
        </is>
      </c>
      <c r="B117" s="1" t="n">
        <v>45931</v>
      </c>
      <c r="C117" s="1" t="n">
        <v>46199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47786-2025</t>
        </is>
      </c>
      <c r="B118" s="1" t="n">
        <v>45931</v>
      </c>
      <c r="C118" s="1" t="n">
        <v>46199</v>
      </c>
      <c r="D118" t="inlineStr">
        <is>
          <t>VÄRMLANDS LÄN</t>
        </is>
      </c>
      <c r="E118" t="inlineStr">
        <is>
          <t>KIL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48427-2025</t>
        </is>
      </c>
      <c r="B119" s="1" t="n">
        <v>45934</v>
      </c>
      <c r="C119" s="1" t="n">
        <v>46199</v>
      </c>
      <c r="D119" t="inlineStr">
        <is>
          <t>VÄRMLANDS LÄN</t>
        </is>
      </c>
      <c r="E119" t="inlineStr">
        <is>
          <t>KIL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32982-2025</t>
        </is>
      </c>
      <c r="B120" s="1" t="n">
        <v>45839</v>
      </c>
      <c r="C120" s="1" t="n">
        <v>46199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32410-2025</t>
        </is>
      </c>
      <c r="B121" s="1" t="n">
        <v>45838</v>
      </c>
      <c r="C121" s="1" t="n">
        <v>46199</v>
      </c>
      <c r="D121" t="inlineStr">
        <is>
          <t>VÄRMLANDS LÄN</t>
        </is>
      </c>
      <c r="E121" t="inlineStr">
        <is>
          <t>KIL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46199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63811-2025</t>
        </is>
      </c>
      <c r="B123" s="1" t="n">
        <v>46020</v>
      </c>
      <c r="C123" s="1" t="n">
        <v>46199</v>
      </c>
      <c r="D123" t="inlineStr">
        <is>
          <t>VÄRMLANDS LÄN</t>
        </is>
      </c>
      <c r="E123" t="inlineStr">
        <is>
          <t>KIL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17473-2025</t>
        </is>
      </c>
      <c r="B124" s="1" t="n">
        <v>45757</v>
      </c>
      <c r="C124" s="1" t="n">
        <v>46199</v>
      </c>
      <c r="D124" t="inlineStr">
        <is>
          <t>VÄRMLANDS LÄN</t>
        </is>
      </c>
      <c r="E124" t="inlineStr">
        <is>
          <t>KIL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35449-2024</t>
        </is>
      </c>
      <c r="B125" s="1" t="n">
        <v>45531</v>
      </c>
      <c r="C125" s="1" t="n">
        <v>46199</v>
      </c>
      <c r="D125" t="inlineStr">
        <is>
          <t>VÄRMLANDS LÄN</t>
        </is>
      </c>
      <c r="E125" t="inlineStr">
        <is>
          <t>KIL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37620-2024</t>
        </is>
      </c>
      <c r="B126" s="1" t="n">
        <v>45541</v>
      </c>
      <c r="C126" s="1" t="n">
        <v>46199</v>
      </c>
      <c r="D126" t="inlineStr">
        <is>
          <t>VÄRMLANDS LÄN</t>
        </is>
      </c>
      <c r="E126" t="inlineStr">
        <is>
          <t>KIL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15721-2024</t>
        </is>
      </c>
      <c r="B127" s="1" t="n">
        <v>45404</v>
      </c>
      <c r="C127" s="1" t="n">
        <v>46199</v>
      </c>
      <c r="D127" t="inlineStr">
        <is>
          <t>VÄRMLANDS LÄN</t>
        </is>
      </c>
      <c r="E127" t="inlineStr">
        <is>
          <t>KIL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2708-2023</t>
        </is>
      </c>
      <c r="B128" s="1" t="n">
        <v>44942</v>
      </c>
      <c r="C128" s="1" t="n">
        <v>46199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52621-2025</t>
        </is>
      </c>
      <c r="B129" s="1" t="n">
        <v>45953</v>
      </c>
      <c r="C129" s="1" t="n">
        <v>46199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52622-2025</t>
        </is>
      </c>
      <c r="B130" s="1" t="n">
        <v>45953</v>
      </c>
      <c r="C130" s="1" t="n">
        <v>46199</v>
      </c>
      <c r="D130" t="inlineStr">
        <is>
          <t>VÄRMLANDS LÄN</t>
        </is>
      </c>
      <c r="E130" t="inlineStr">
        <is>
          <t>KIL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10634-2024</t>
        </is>
      </c>
      <c r="B131" s="1" t="n">
        <v>45367</v>
      </c>
      <c r="C131" s="1" t="n">
        <v>46199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39039-2024</t>
        </is>
      </c>
      <c r="B132" s="1" t="n">
        <v>45548</v>
      </c>
      <c r="C132" s="1" t="n">
        <v>46199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52697-2025</t>
        </is>
      </c>
      <c r="B133" s="1" t="n">
        <v>45956</v>
      </c>
      <c r="C133" s="1" t="n">
        <v>46199</v>
      </c>
      <c r="D133" t="inlineStr">
        <is>
          <t>VÄRMLANDS LÄN</t>
        </is>
      </c>
      <c r="E133" t="inlineStr">
        <is>
          <t>KIL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1332-2026</t>
        </is>
      </c>
      <c r="B134" s="1" t="n">
        <v>46031</v>
      </c>
      <c r="C134" s="1" t="n">
        <v>46199</v>
      </c>
      <c r="D134" t="inlineStr">
        <is>
          <t>VÄRMLANDS LÄN</t>
        </is>
      </c>
      <c r="E134" t="inlineStr">
        <is>
          <t>KIL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46445-2024</t>
        </is>
      </c>
      <c r="B135" s="1" t="n">
        <v>45582</v>
      </c>
      <c r="C135" s="1" t="n">
        <v>46199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12272-2024</t>
        </is>
      </c>
      <c r="B136" s="1" t="n">
        <v>45378</v>
      </c>
      <c r="C136" s="1" t="n">
        <v>46199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46199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7586-2025</t>
        </is>
      </c>
      <c r="B138" s="1" t="n">
        <v>45705</v>
      </c>
      <c r="C138" s="1" t="n">
        <v>46199</v>
      </c>
      <c r="D138" t="inlineStr">
        <is>
          <t>VÄRMLANDS LÄN</t>
        </is>
      </c>
      <c r="E138" t="inlineStr">
        <is>
          <t>KIL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969-2022</t>
        </is>
      </c>
      <c r="B139" s="1" t="n">
        <v>44571</v>
      </c>
      <c r="C139" s="1" t="n">
        <v>46199</v>
      </c>
      <c r="D139" t="inlineStr">
        <is>
          <t>VÄRMLANDS LÄN</t>
        </is>
      </c>
      <c r="E139" t="inlineStr">
        <is>
          <t>KIL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53841-2025</t>
        </is>
      </c>
      <c r="B140" s="1" t="n">
        <v>45961</v>
      </c>
      <c r="C140" s="1" t="n">
        <v>46199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3174-2026</t>
        </is>
      </c>
      <c r="B141" s="1" t="n">
        <v>46041</v>
      </c>
      <c r="C141" s="1" t="n">
        <v>46199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53839-2025</t>
        </is>
      </c>
      <c r="B142" s="1" t="n">
        <v>45961</v>
      </c>
      <c r="C142" s="1" t="n">
        <v>46199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54593-2025</t>
        </is>
      </c>
      <c r="B143" s="1" t="n">
        <v>45965</v>
      </c>
      <c r="C143" s="1" t="n">
        <v>46199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2688-2023</t>
        </is>
      </c>
      <c r="B144" s="1" t="n">
        <v>44942</v>
      </c>
      <c r="C144" s="1" t="n">
        <v>46199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</v>
      </c>
      <c r="C145" s="1" t="n">
        <v>46199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</v>
      </c>
      <c r="C146" s="1" t="n">
        <v>46199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5286-2023</t>
        </is>
      </c>
      <c r="B147" s="1" t="n">
        <v>44959</v>
      </c>
      <c r="C147" s="1" t="n">
        <v>46199</v>
      </c>
      <c r="D147" t="inlineStr">
        <is>
          <t>VÄRMLANDS LÄN</t>
        </is>
      </c>
      <c r="E147" t="inlineStr">
        <is>
          <t>KIL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58679-2021</t>
        </is>
      </c>
      <c r="B148" s="1" t="n">
        <v>44489</v>
      </c>
      <c r="C148" s="1" t="n">
        <v>46199</v>
      </c>
      <c r="D148" t="inlineStr">
        <is>
          <t>VÄRMLANDS LÄN</t>
        </is>
      </c>
      <c r="E148" t="inlineStr">
        <is>
          <t>KIL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6015-2023</t>
        </is>
      </c>
      <c r="B149" s="1" t="n">
        <v>44964</v>
      </c>
      <c r="C149" s="1" t="n">
        <v>46199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20743-2024</t>
        </is>
      </c>
      <c r="B150" s="1" t="n">
        <v>45436</v>
      </c>
      <c r="C150" s="1" t="n">
        <v>46199</v>
      </c>
      <c r="D150" t="inlineStr">
        <is>
          <t>VÄRMLANDS LÄN</t>
        </is>
      </c>
      <c r="E150" t="inlineStr">
        <is>
          <t>KIL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39492-2023</t>
        </is>
      </c>
      <c r="B151" s="1" t="n">
        <v>45166</v>
      </c>
      <c r="C151" s="1" t="n">
        <v>46199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18336-2023</t>
        </is>
      </c>
      <c r="B152" s="1" t="n">
        <v>45041</v>
      </c>
      <c r="C152" s="1" t="n">
        <v>46199</v>
      </c>
      <c r="D152" t="inlineStr">
        <is>
          <t>VÄRMLANDS LÄN</t>
        </is>
      </c>
      <c r="E152" t="inlineStr">
        <is>
          <t>KIL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8910-2025</t>
        </is>
      </c>
      <c r="B153" s="1" t="n">
        <v>45713</v>
      </c>
      <c r="C153" s="1" t="n">
        <v>46199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8916-2025</t>
        </is>
      </c>
      <c r="B154" s="1" t="n">
        <v>45713</v>
      </c>
      <c r="C154" s="1" t="n">
        <v>46199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13504-2026</t>
        </is>
      </c>
      <c r="B155" s="1" t="n">
        <v>46094</v>
      </c>
      <c r="C155" s="1" t="n">
        <v>46199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72073-2021</t>
        </is>
      </c>
      <c r="B156" s="1" t="n">
        <v>44544</v>
      </c>
      <c r="C156" s="1" t="n">
        <v>46199</v>
      </c>
      <c r="D156" t="inlineStr">
        <is>
          <t>VÄRMLANDS LÄN</t>
        </is>
      </c>
      <c r="E156" t="inlineStr">
        <is>
          <t>KIL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14036-2026</t>
        </is>
      </c>
      <c r="B157" s="1" t="n">
        <v>46098</v>
      </c>
      <c r="C157" s="1" t="n">
        <v>46199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5754-2025</t>
        </is>
      </c>
      <c r="B158" s="1" t="n">
        <v>45694</v>
      </c>
      <c r="C158" s="1" t="n">
        <v>46199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59012-2024</t>
        </is>
      </c>
      <c r="B159" s="1" t="n">
        <v>45636</v>
      </c>
      <c r="C159" s="1" t="n">
        <v>46199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2-2023</t>
        </is>
      </c>
      <c r="B160" s="1" t="n">
        <v>44927</v>
      </c>
      <c r="C160" s="1" t="n">
        <v>46199</v>
      </c>
      <c r="D160" t="inlineStr">
        <is>
          <t>VÄRMLANDS LÄN</t>
        </is>
      </c>
      <c r="E160" t="inlineStr">
        <is>
          <t>KIL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34402-2022</t>
        </is>
      </c>
      <c r="B161" s="1" t="n">
        <v>44792</v>
      </c>
      <c r="C161" s="1" t="n">
        <v>46199</v>
      </c>
      <c r="D161" t="inlineStr">
        <is>
          <t>VÄRMLANDS LÄN</t>
        </is>
      </c>
      <c r="E161" t="inlineStr">
        <is>
          <t>KIL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16590-2026</t>
        </is>
      </c>
      <c r="B162" s="1" t="n">
        <v>46112</v>
      </c>
      <c r="C162" s="1" t="n">
        <v>46199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16585-2026</t>
        </is>
      </c>
      <c r="B163" s="1" t="n">
        <v>46112</v>
      </c>
      <c r="C163" s="1" t="n">
        <v>46199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12252-2024</t>
        </is>
      </c>
      <c r="B164" s="1" t="n">
        <v>45378</v>
      </c>
      <c r="C164" s="1" t="n">
        <v>46199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2990-2022</t>
        </is>
      </c>
      <c r="B165" s="1" t="n">
        <v>44581</v>
      </c>
      <c r="C165" s="1" t="n">
        <v>46199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2994-2022</t>
        </is>
      </c>
      <c r="B166" s="1" t="n">
        <v>44581</v>
      </c>
      <c r="C166" s="1" t="n">
        <v>46199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23327-2026</t>
        </is>
      </c>
      <c r="B167" s="1" t="n">
        <v>46162</v>
      </c>
      <c r="C167" s="1" t="n">
        <v>46199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23794-2023</t>
        </is>
      </c>
      <c r="B168" s="1" t="n">
        <v>45078</v>
      </c>
      <c r="C168" s="1" t="n">
        <v>46199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8541-2025</t>
        </is>
      </c>
      <c r="B169" s="1" t="n">
        <v>45709</v>
      </c>
      <c r="C169" s="1" t="n">
        <v>46199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249-2022</t>
        </is>
      </c>
      <c r="B170" s="1" t="n">
        <v>44565</v>
      </c>
      <c r="C170" s="1" t="n">
        <v>46199</v>
      </c>
      <c r="D170" t="inlineStr">
        <is>
          <t>VÄRMLANDS LÄN</t>
        </is>
      </c>
      <c r="E170" t="inlineStr">
        <is>
          <t>KIL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18096-2026</t>
        </is>
      </c>
      <c r="B171" s="1" t="n">
        <v>46125</v>
      </c>
      <c r="C171" s="1" t="n">
        <v>46199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39055-2024</t>
        </is>
      </c>
      <c r="B172" s="1" t="n">
        <v>45548</v>
      </c>
      <c r="C172" s="1" t="n">
        <v>46199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52438-2022</t>
        </is>
      </c>
      <c r="B173" s="1" t="n">
        <v>44874</v>
      </c>
      <c r="C173" s="1" t="n">
        <v>46199</v>
      </c>
      <c r="D173" t="inlineStr">
        <is>
          <t>VÄRMLANDS LÄN</t>
        </is>
      </c>
      <c r="E173" t="inlineStr">
        <is>
          <t>KIL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42522-2021</t>
        </is>
      </c>
      <c r="B174" s="1" t="n">
        <v>44427</v>
      </c>
      <c r="C174" s="1" t="n">
        <v>46199</v>
      </c>
      <c r="D174" t="inlineStr">
        <is>
          <t>VÄRMLANDS LÄN</t>
        </is>
      </c>
      <c r="E174" t="inlineStr">
        <is>
          <t>KIL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18101-2026</t>
        </is>
      </c>
      <c r="B175" s="1" t="n">
        <v>46125</v>
      </c>
      <c r="C175" s="1" t="n">
        <v>46199</v>
      </c>
      <c r="D175" t="inlineStr">
        <is>
          <t>VÄRMLANDS LÄN</t>
        </is>
      </c>
      <c r="E175" t="inlineStr">
        <is>
          <t>KIL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14143-2024</t>
        </is>
      </c>
      <c r="B176" s="1" t="n">
        <v>45392</v>
      </c>
      <c r="C176" s="1" t="n">
        <v>46199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17806-2023</t>
        </is>
      </c>
      <c r="B177" s="1" t="n">
        <v>45037</v>
      </c>
      <c r="C177" s="1" t="n">
        <v>46199</v>
      </c>
      <c r="D177" t="inlineStr">
        <is>
          <t>VÄRMLANDS LÄN</t>
        </is>
      </c>
      <c r="E177" t="inlineStr">
        <is>
          <t>KIL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29615-2022</t>
        </is>
      </c>
      <c r="B178" s="1" t="n">
        <v>44754</v>
      </c>
      <c r="C178" s="1" t="n">
        <v>46199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59944-2024</t>
        </is>
      </c>
      <c r="B179" s="1" t="n">
        <v>45642</v>
      </c>
      <c r="C179" s="1" t="n">
        <v>46199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59503-2022</t>
        </is>
      </c>
      <c r="B180" s="1" t="n">
        <v>44907</v>
      </c>
      <c r="C180" s="1" t="n">
        <v>46199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30599-2023</t>
        </is>
      </c>
      <c r="B181" s="1" t="n">
        <v>45112</v>
      </c>
      <c r="C181" s="1" t="n">
        <v>46199</v>
      </c>
      <c r="D181" t="inlineStr">
        <is>
          <t>VÄRMLANDS LÄN</t>
        </is>
      </c>
      <c r="E181" t="inlineStr">
        <is>
          <t>KIL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24640-2026</t>
        </is>
      </c>
      <c r="B182" s="1" t="n">
        <v>46171</v>
      </c>
      <c r="C182" s="1" t="n">
        <v>46199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64518-2021</t>
        </is>
      </c>
      <c r="B183" s="1" t="n">
        <v>44511</v>
      </c>
      <c r="C183" s="1" t="n">
        <v>46199</v>
      </c>
      <c r="D183" t="inlineStr">
        <is>
          <t>VÄRMLANDS LÄN</t>
        </is>
      </c>
      <c r="E183" t="inlineStr">
        <is>
          <t>KIL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64193-2021</t>
        </is>
      </c>
      <c r="B184" s="1" t="n">
        <v>44510</v>
      </c>
      <c r="C184" s="1" t="n">
        <v>46199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38760-2023</t>
        </is>
      </c>
      <c r="B185" s="1" t="n">
        <v>45163</v>
      </c>
      <c r="C185" s="1" t="n">
        <v>46199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25409-2024</t>
        </is>
      </c>
      <c r="B186" s="1" t="n">
        <v>45463</v>
      </c>
      <c r="C186" s="1" t="n">
        <v>46199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14651-2024</t>
        </is>
      </c>
      <c r="B187" s="1" t="n">
        <v>45397</v>
      </c>
      <c r="C187" s="1" t="n">
        <v>46199</v>
      </c>
      <c r="D187" t="inlineStr">
        <is>
          <t>VÄRMLANDS LÄN</t>
        </is>
      </c>
      <c r="E187" t="inlineStr">
        <is>
          <t>KIL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36971-2024</t>
        </is>
      </c>
      <c r="B188" s="1" t="n">
        <v>45538</v>
      </c>
      <c r="C188" s="1" t="n">
        <v>46199</v>
      </c>
      <c r="D188" t="inlineStr">
        <is>
          <t>VÄRMLANDS LÄN</t>
        </is>
      </c>
      <c r="E188" t="inlineStr">
        <is>
          <t>KIL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10910-2023</t>
        </is>
      </c>
      <c r="B189" s="1" t="n">
        <v>44991</v>
      </c>
      <c r="C189" s="1" t="n">
        <v>46199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35084-2024</t>
        </is>
      </c>
      <c r="B190" s="1" t="n">
        <v>45527</v>
      </c>
      <c r="C190" s="1" t="n">
        <v>46199</v>
      </c>
      <c r="D190" t="inlineStr">
        <is>
          <t>VÄRMLANDS LÄN</t>
        </is>
      </c>
      <c r="E190" t="inlineStr">
        <is>
          <t>KIL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55444-2025</t>
        </is>
      </c>
      <c r="B191" s="1" t="n">
        <v>45971</v>
      </c>
      <c r="C191" s="1" t="n">
        <v>46199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44660-2024</t>
        </is>
      </c>
      <c r="B192" s="1" t="n">
        <v>45574</v>
      </c>
      <c r="C192" s="1" t="n">
        <v>46199</v>
      </c>
      <c r="D192" t="inlineStr">
        <is>
          <t>VÄRMLANDS LÄN</t>
        </is>
      </c>
      <c r="E192" t="inlineStr">
        <is>
          <t>KIL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44666-2024</t>
        </is>
      </c>
      <c r="B193" s="1" t="n">
        <v>45574</v>
      </c>
      <c r="C193" s="1" t="n">
        <v>46199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58244-2025</t>
        </is>
      </c>
      <c r="B194" s="1" t="n">
        <v>45985</v>
      </c>
      <c r="C194" s="1" t="n">
        <v>46199</v>
      </c>
      <c r="D194" t="inlineStr">
        <is>
          <t>VÄRMLANDS LÄN</t>
        </is>
      </c>
      <c r="E194" t="inlineStr">
        <is>
          <t>KIL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17329-2025</t>
        </is>
      </c>
      <c r="B195" s="1" t="n">
        <v>45756</v>
      </c>
      <c r="C195" s="1" t="n">
        <v>46199</v>
      </c>
      <c r="D195" t="inlineStr">
        <is>
          <t>VÄRMLANDS LÄN</t>
        </is>
      </c>
      <c r="E195" t="inlineStr">
        <is>
          <t>KIL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20184-2026</t>
        </is>
      </c>
      <c r="B196" s="1" t="n">
        <v>46139</v>
      </c>
      <c r="C196" s="1" t="n">
        <v>46199</v>
      </c>
      <c r="D196" t="inlineStr">
        <is>
          <t>VÄRMLANDS LÄN</t>
        </is>
      </c>
      <c r="E196" t="inlineStr">
        <is>
          <t>KIL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25435-2024</t>
        </is>
      </c>
      <c r="B197" s="1" t="n">
        <v>45463</v>
      </c>
      <c r="C197" s="1" t="n">
        <v>46199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11929-2023</t>
        </is>
      </c>
      <c r="B198" s="1" t="n">
        <v>44995</v>
      </c>
      <c r="C198" s="1" t="n">
        <v>46199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14732-2022</t>
        </is>
      </c>
      <c r="B199" s="1" t="n">
        <v>44655</v>
      </c>
      <c r="C199" s="1" t="n">
        <v>46199</v>
      </c>
      <c r="D199" t="inlineStr">
        <is>
          <t>VÄRMLANDS LÄN</t>
        </is>
      </c>
      <c r="E199" t="inlineStr">
        <is>
          <t>KIL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8911-2025</t>
        </is>
      </c>
      <c r="B200" s="1" t="n">
        <v>45713</v>
      </c>
      <c r="C200" s="1" t="n">
        <v>46199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18049-2024</t>
        </is>
      </c>
      <c r="B201" s="1" t="n">
        <v>45420</v>
      </c>
      <c r="C201" s="1" t="n">
        <v>46199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26438-2025</t>
        </is>
      </c>
      <c r="B202" s="1" t="n">
        <v>45807</v>
      </c>
      <c r="C202" s="1" t="n">
        <v>46199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1847-2025</t>
        </is>
      </c>
      <c r="B203" s="1" t="n">
        <v>45671</v>
      </c>
      <c r="C203" s="1" t="n">
        <v>46199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29698-2024</t>
        </is>
      </c>
      <c r="B204" s="1" t="n">
        <v>45484</v>
      </c>
      <c r="C204" s="1" t="n">
        <v>46199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45672-2024</t>
        </is>
      </c>
      <c r="B205" s="1" t="n">
        <v>45579</v>
      </c>
      <c r="C205" s="1" t="n">
        <v>46199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31032-2024</t>
        </is>
      </c>
      <c r="B206" s="1" t="n">
        <v>45501</v>
      </c>
      <c r="C206" s="1" t="n">
        <v>46199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31033-2024</t>
        </is>
      </c>
      <c r="B207" s="1" t="n">
        <v>45501</v>
      </c>
      <c r="C207" s="1" t="n">
        <v>46199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50461-2024</t>
        </is>
      </c>
      <c r="B208" s="1" t="n">
        <v>45601</v>
      </c>
      <c r="C208" s="1" t="n">
        <v>46199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20259-2026</t>
        </is>
      </c>
      <c r="B209" s="1" t="n">
        <v>46139</v>
      </c>
      <c r="C209" s="1" t="n">
        <v>46199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18948-2024</t>
        </is>
      </c>
      <c r="B210" s="1" t="n">
        <v>45427</v>
      </c>
      <c r="C210" s="1" t="n">
        <v>46199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49604-2023</t>
        </is>
      </c>
      <c r="B211" s="1" t="n">
        <v>45207</v>
      </c>
      <c r="C211" s="1" t="n">
        <v>46199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59938-2024</t>
        </is>
      </c>
      <c r="B212" s="1" t="n">
        <v>45642</v>
      </c>
      <c r="C212" s="1" t="n">
        <v>46199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24247-2025</t>
        </is>
      </c>
      <c r="B213" s="1" t="n">
        <v>45797</v>
      </c>
      <c r="C213" s="1" t="n">
        <v>46199</v>
      </c>
      <c r="D213" t="inlineStr">
        <is>
          <t>VÄRMLANDS LÄN</t>
        </is>
      </c>
      <c r="E213" t="inlineStr">
        <is>
          <t>KIL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43194-2025</t>
        </is>
      </c>
      <c r="B214" s="1" t="n">
        <v>45910</v>
      </c>
      <c r="C214" s="1" t="n">
        <v>46199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33475-2024</t>
        </is>
      </c>
      <c r="B215" s="1" t="n">
        <v>45519</v>
      </c>
      <c r="C215" s="1" t="n">
        <v>46199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7368-2025</t>
        </is>
      </c>
      <c r="B216" s="1" t="n">
        <v>45704</v>
      </c>
      <c r="C216" s="1" t="n">
        <v>46199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23786-2022</t>
        </is>
      </c>
      <c r="B217" s="1" t="n">
        <v>44722</v>
      </c>
      <c r="C217" s="1" t="n">
        <v>46199</v>
      </c>
      <c r="D217" t="inlineStr">
        <is>
          <t>VÄRMLANDS LÄN</t>
        </is>
      </c>
      <c r="E217" t="inlineStr">
        <is>
          <t>KIL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21032-2023</t>
        </is>
      </c>
      <c r="B218" s="1" t="n">
        <v>45061</v>
      </c>
      <c r="C218" s="1" t="n">
        <v>46199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55306-2024</t>
        </is>
      </c>
      <c r="B219" s="1" t="n">
        <v>45621</v>
      </c>
      <c r="C219" s="1" t="n">
        <v>46199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26270-2022</t>
        </is>
      </c>
      <c r="B220" s="1" t="n">
        <v>44735</v>
      </c>
      <c r="C220" s="1" t="n">
        <v>46199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26910-2025</t>
        </is>
      </c>
      <c r="B221" s="1" t="n">
        <v>45811</v>
      </c>
      <c r="C221" s="1" t="n">
        <v>46199</v>
      </c>
      <c r="D221" t="inlineStr">
        <is>
          <t>VÄRMLANDS LÄN</t>
        </is>
      </c>
      <c r="E221" t="inlineStr">
        <is>
          <t>KIL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57386-2024</t>
        </is>
      </c>
      <c r="B222" s="1" t="n">
        <v>45629</v>
      </c>
      <c r="C222" s="1" t="n">
        <v>46199</v>
      </c>
      <c r="D222" t="inlineStr">
        <is>
          <t>VÄRMLANDS LÄN</t>
        </is>
      </c>
      <c r="E222" t="inlineStr">
        <is>
          <t>KIL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60201-2024</t>
        </is>
      </c>
      <c r="B223" s="1" t="n">
        <v>45642</v>
      </c>
      <c r="C223" s="1" t="n">
        <v>46199</v>
      </c>
      <c r="D223" t="inlineStr">
        <is>
          <t>VÄRMLANDS LÄN</t>
        </is>
      </c>
      <c r="E223" t="inlineStr">
        <is>
          <t>KIL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65007-2023</t>
        </is>
      </c>
      <c r="B224" s="1" t="n">
        <v>45287</v>
      </c>
      <c r="C224" s="1" t="n">
        <v>46199</v>
      </c>
      <c r="D224" t="inlineStr">
        <is>
          <t>VÄRMLANDS LÄN</t>
        </is>
      </c>
      <c r="E224" t="inlineStr">
        <is>
          <t>KIL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27638-2026</t>
        </is>
      </c>
      <c r="B225" s="1" t="n">
        <v>46190</v>
      </c>
      <c r="C225" s="1" t="n">
        <v>46199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64140-2023</t>
        </is>
      </c>
      <c r="B226" s="1" t="n">
        <v>45279</v>
      </c>
      <c r="C226" s="1" t="n">
        <v>46199</v>
      </c>
      <c r="D226" t="inlineStr">
        <is>
          <t>VÄRMLANDS LÄN</t>
        </is>
      </c>
      <c r="E226" t="inlineStr">
        <is>
          <t>KIL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28195-2022</t>
        </is>
      </c>
      <c r="B227" s="1" t="n">
        <v>44746</v>
      </c>
      <c r="C227" s="1" t="n">
        <v>46199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34408-2024</t>
        </is>
      </c>
      <c r="B228" s="1" t="n">
        <v>45525</v>
      </c>
      <c r="C228" s="1" t="n">
        <v>46199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12280-2024</t>
        </is>
      </c>
      <c r="B229" s="1" t="n">
        <v>45378</v>
      </c>
      <c r="C229" s="1" t="n">
        <v>46199</v>
      </c>
      <c r="D229" t="inlineStr">
        <is>
          <t>VÄRMLANDS LÄN</t>
        </is>
      </c>
      <c r="E229" t="inlineStr">
        <is>
          <t>KIL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18117-2025</t>
        </is>
      </c>
      <c r="B230" s="1" t="n">
        <v>45761</v>
      </c>
      <c r="C230" s="1" t="n">
        <v>46199</v>
      </c>
      <c r="D230" t="inlineStr">
        <is>
          <t>VÄRMLANDS LÄN</t>
        </is>
      </c>
      <c r="E230" t="inlineStr">
        <is>
          <t>KIL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48742-2021</t>
        </is>
      </c>
      <c r="B231" s="1" t="n">
        <v>44452</v>
      </c>
      <c r="C231" s="1" t="n">
        <v>46199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6687-2023</t>
        </is>
      </c>
      <c r="B232" s="1" t="n">
        <v>44966</v>
      </c>
      <c r="C232" s="1" t="n">
        <v>46199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22226-2026</t>
        </is>
      </c>
      <c r="B233" s="1" t="n">
        <v>46150</v>
      </c>
      <c r="C233" s="1" t="n">
        <v>46199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73251-2021</t>
        </is>
      </c>
      <c r="B234" s="1" t="n">
        <v>44550</v>
      </c>
      <c r="C234" s="1" t="n">
        <v>46199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56641-2023</t>
        </is>
      </c>
      <c r="B235" s="1" t="n">
        <v>45243</v>
      </c>
      <c r="C235" s="1" t="n">
        <v>46199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61229-2022</t>
        </is>
      </c>
      <c r="B236" s="1" t="n">
        <v>44915</v>
      </c>
      <c r="C236" s="1" t="n">
        <v>46199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17635-2022</t>
        </is>
      </c>
      <c r="B237" s="1" t="n">
        <v>44680</v>
      </c>
      <c r="C237" s="1" t="n">
        <v>46199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36296-2022</t>
        </is>
      </c>
      <c r="B238" s="1" t="n">
        <v>44803</v>
      </c>
      <c r="C238" s="1" t="n">
        <v>46199</v>
      </c>
      <c r="D238" t="inlineStr">
        <is>
          <t>VÄRMLANDS LÄN</t>
        </is>
      </c>
      <c r="E238" t="inlineStr">
        <is>
          <t>KIL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2077-2024</t>
        </is>
      </c>
      <c r="B239" s="1" t="n">
        <v>45309</v>
      </c>
      <c r="C239" s="1" t="n">
        <v>46199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61210-2023</t>
        </is>
      </c>
      <c r="B240" s="1" t="n">
        <v>45264</v>
      </c>
      <c r="C240" s="1" t="n">
        <v>46199</v>
      </c>
      <c r="D240" t="inlineStr">
        <is>
          <t>VÄRMLANDS LÄN</t>
        </is>
      </c>
      <c r="E240" t="inlineStr">
        <is>
          <t>KIL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57151-2023</t>
        </is>
      </c>
      <c r="B241" s="1" t="n">
        <v>45245</v>
      </c>
      <c r="C241" s="1" t="n">
        <v>46199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10476-2025</t>
        </is>
      </c>
      <c r="B242" s="1" t="n">
        <v>45720</v>
      </c>
      <c r="C242" s="1" t="n">
        <v>46199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41526-2023</t>
        </is>
      </c>
      <c r="B243" s="1" t="n">
        <v>45175</v>
      </c>
      <c r="C243" s="1" t="n">
        <v>46199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31621-2022</t>
        </is>
      </c>
      <c r="B244" s="1" t="n">
        <v>44775</v>
      </c>
      <c r="C244" s="1" t="n">
        <v>46199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</v>
      </c>
      <c r="C245" s="1" t="n">
        <v>46199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46998-2024</t>
        </is>
      </c>
      <c r="B246" s="1" t="n">
        <v>45586</v>
      </c>
      <c r="C246" s="1" t="n">
        <v>46199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2263-2023</t>
        </is>
      </c>
      <c r="B247" s="1" t="n">
        <v>44941</v>
      </c>
      <c r="C247" s="1" t="n">
        <v>46199</v>
      </c>
      <c r="D247" t="inlineStr">
        <is>
          <t>VÄRMLANDS LÄN</t>
        </is>
      </c>
      <c r="E247" t="inlineStr">
        <is>
          <t>KIL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50252-2024</t>
        </is>
      </c>
      <c r="B248" s="1" t="n">
        <v>45600</v>
      </c>
      <c r="C248" s="1" t="n">
        <v>46199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4832-2022</t>
        </is>
      </c>
      <c r="B249" s="1" t="n">
        <v>44592</v>
      </c>
      <c r="C249" s="1" t="n">
        <v>46199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38835-2024</t>
        </is>
      </c>
      <c r="B250" s="1" t="n">
        <v>45547</v>
      </c>
      <c r="C250" s="1" t="n">
        <v>46199</v>
      </c>
      <c r="D250" t="inlineStr">
        <is>
          <t>VÄRMLANDS LÄN</t>
        </is>
      </c>
      <c r="E250" t="inlineStr">
        <is>
          <t>KIL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59871-2024</t>
        </is>
      </c>
      <c r="B251" s="1" t="n">
        <v>45640</v>
      </c>
      <c r="C251" s="1" t="n">
        <v>46199</v>
      </c>
      <c r="D251" t="inlineStr">
        <is>
          <t>VÄRMLANDS LÄN</t>
        </is>
      </c>
      <c r="E251" t="inlineStr">
        <is>
          <t>KIL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2309-2024</t>
        </is>
      </c>
      <c r="B252" s="1" t="n">
        <v>45310</v>
      </c>
      <c r="C252" s="1" t="n">
        <v>46199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2306-2024</t>
        </is>
      </c>
      <c r="B253" s="1" t="n">
        <v>45310</v>
      </c>
      <c r="C253" s="1" t="n">
        <v>46199</v>
      </c>
      <c r="D253" t="inlineStr">
        <is>
          <t>VÄRMLANDS LÄN</t>
        </is>
      </c>
      <c r="E253" t="inlineStr">
        <is>
          <t>KIL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59200-2023</t>
        </is>
      </c>
      <c r="B254" s="1" t="n">
        <v>45253</v>
      </c>
      <c r="C254" s="1" t="n">
        <v>46199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3851-2025</t>
        </is>
      </c>
      <c r="B255" s="1" t="n">
        <v>45683</v>
      </c>
      <c r="C255" s="1" t="n">
        <v>46199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26263-2023</t>
        </is>
      </c>
      <c r="B256" s="1" t="n">
        <v>45091</v>
      </c>
      <c r="C256" s="1" t="n">
        <v>46199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46220-2021</t>
        </is>
      </c>
      <c r="B257" s="1" t="n">
        <v>44442</v>
      </c>
      <c r="C257" s="1" t="n">
        <v>46199</v>
      </c>
      <c r="D257" t="inlineStr">
        <is>
          <t>VÄRMLANDS LÄN</t>
        </is>
      </c>
      <c r="E257" t="inlineStr">
        <is>
          <t>KIL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44646-2024</t>
        </is>
      </c>
      <c r="B258" s="1" t="n">
        <v>45574</v>
      </c>
      <c r="C258" s="1" t="n">
        <v>46199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37169-2021</t>
        </is>
      </c>
      <c r="B259" s="1" t="n">
        <v>44395</v>
      </c>
      <c r="C259" s="1" t="n">
        <v>46199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53958-2024</t>
        </is>
      </c>
      <c r="B260" s="1" t="n">
        <v>45616</v>
      </c>
      <c r="C260" s="1" t="n">
        <v>46199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36305-2022</t>
        </is>
      </c>
      <c r="B261" s="1" t="n">
        <v>44803</v>
      </c>
      <c r="C261" s="1" t="n">
        <v>46199</v>
      </c>
      <c r="D261" t="inlineStr">
        <is>
          <t>VÄRMLANDS LÄN</t>
        </is>
      </c>
      <c r="E261" t="inlineStr">
        <is>
          <t>KIL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10374-2022</t>
        </is>
      </c>
      <c r="B262" s="1" t="n">
        <v>44623</v>
      </c>
      <c r="C262" s="1" t="n">
        <v>46199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4069-2025</t>
        </is>
      </c>
      <c r="B263" s="1" t="n">
        <v>45684</v>
      </c>
      <c r="C263" s="1" t="n">
        <v>46199</v>
      </c>
      <c r="D263" t="inlineStr">
        <is>
          <t>VÄRMLANDS LÄN</t>
        </is>
      </c>
      <c r="E263" t="inlineStr">
        <is>
          <t>KIL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58679-2021</t>
        </is>
      </c>
      <c r="B264" s="1" t="n">
        <v>44489</v>
      </c>
      <c r="C264" s="1" t="n">
        <v>46199</v>
      </c>
      <c r="D264" t="inlineStr">
        <is>
          <t>VÄRMLANDS LÄN</t>
        </is>
      </c>
      <c r="E264" t="inlineStr">
        <is>
          <t>KIL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27792-2023</t>
        </is>
      </c>
      <c r="B265" s="1" t="n">
        <v>45098</v>
      </c>
      <c r="C265" s="1" t="n">
        <v>46199</v>
      </c>
      <c r="D265" t="inlineStr">
        <is>
          <t>VÄRMLANDS LÄN</t>
        </is>
      </c>
      <c r="E265" t="inlineStr">
        <is>
          <t>KIL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32839-2023</t>
        </is>
      </c>
      <c r="B266" s="1" t="n">
        <v>45109</v>
      </c>
      <c r="C266" s="1" t="n">
        <v>46199</v>
      </c>
      <c r="D266" t="inlineStr">
        <is>
          <t>VÄRMLANDS LÄN</t>
        </is>
      </c>
      <c r="E266" t="inlineStr">
        <is>
          <t>KIL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53956-2024</t>
        </is>
      </c>
      <c r="B267" s="1" t="n">
        <v>45616</v>
      </c>
      <c r="C267" s="1" t="n">
        <v>46199</v>
      </c>
      <c r="D267" t="inlineStr">
        <is>
          <t>VÄRMLANDS LÄN</t>
        </is>
      </c>
      <c r="E267" t="inlineStr">
        <is>
          <t>KIL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17816-2023</t>
        </is>
      </c>
      <c r="B268" s="1" t="n">
        <v>45037</v>
      </c>
      <c r="C268" s="1" t="n">
        <v>46199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33566-2024</t>
        </is>
      </c>
      <c r="B269" s="1" t="n">
        <v>45520</v>
      </c>
      <c r="C269" s="1" t="n">
        <v>46199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16596-2023</t>
        </is>
      </c>
      <c r="B270" s="1" t="n">
        <v>45030</v>
      </c>
      <c r="C270" s="1" t="n">
        <v>46199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43285-2024</t>
        </is>
      </c>
      <c r="B271" s="1" t="n">
        <v>45568</v>
      </c>
      <c r="C271" s="1" t="n">
        <v>46199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64374-2023</t>
        </is>
      </c>
      <c r="B272" s="1" t="n">
        <v>45280</v>
      </c>
      <c r="C272" s="1" t="n">
        <v>46199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17240-2025</t>
        </is>
      </c>
      <c r="B273" s="1" t="n">
        <v>45756</v>
      </c>
      <c r="C273" s="1" t="n">
        <v>46199</v>
      </c>
      <c r="D273" t="inlineStr">
        <is>
          <t>VÄRMLANDS LÄN</t>
        </is>
      </c>
      <c r="E273" t="inlineStr">
        <is>
          <t>KIL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59061-2023</t>
        </is>
      </c>
      <c r="B274" s="1" t="n">
        <v>45252</v>
      </c>
      <c r="C274" s="1" t="n">
        <v>46199</v>
      </c>
      <c r="D274" t="inlineStr">
        <is>
          <t>VÄRMLANDS LÄN</t>
        </is>
      </c>
      <c r="E274" t="inlineStr">
        <is>
          <t>KIL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30951-2022</t>
        </is>
      </c>
      <c r="B275" s="1" t="n">
        <v>44768</v>
      </c>
      <c r="C275" s="1" t="n">
        <v>46199</v>
      </c>
      <c r="D275" t="inlineStr">
        <is>
          <t>VÄRMLANDS LÄN</t>
        </is>
      </c>
      <c r="E275" t="inlineStr">
        <is>
          <t>KIL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5758-2025</t>
        </is>
      </c>
      <c r="B276" s="1" t="n">
        <v>45694</v>
      </c>
      <c r="C276" s="1" t="n">
        <v>46199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13098-2025</t>
        </is>
      </c>
      <c r="B277" s="1" t="n">
        <v>45734</v>
      </c>
      <c r="C277" s="1" t="n">
        <v>46199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5753-2025</t>
        </is>
      </c>
      <c r="B278" s="1" t="n">
        <v>45694</v>
      </c>
      <c r="C278" s="1" t="n">
        <v>46199</v>
      </c>
      <c r="D278" t="inlineStr">
        <is>
          <t>VÄRMLANDS LÄN</t>
        </is>
      </c>
      <c r="E278" t="inlineStr">
        <is>
          <t>KIL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15962-2025</t>
        </is>
      </c>
      <c r="B279" s="1" t="n">
        <v>45749</v>
      </c>
      <c r="C279" s="1" t="n">
        <v>46199</v>
      </c>
      <c r="D279" t="inlineStr">
        <is>
          <t>VÄRMLANDS LÄN</t>
        </is>
      </c>
      <c r="E279" t="inlineStr">
        <is>
          <t>KIL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37622-2024</t>
        </is>
      </c>
      <c r="B280" s="1" t="n">
        <v>45541</v>
      </c>
      <c r="C280" s="1" t="n">
        <v>46199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7822-2024</t>
        </is>
      </c>
      <c r="B281" s="1" t="n">
        <v>45349</v>
      </c>
      <c r="C281" s="1" t="n">
        <v>46199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22008-2025</t>
        </is>
      </c>
      <c r="B282" s="1" t="n">
        <v>45784</v>
      </c>
      <c r="C282" s="1" t="n">
        <v>46199</v>
      </c>
      <c r="D282" t="inlineStr">
        <is>
          <t>VÄRMLANDS LÄN</t>
        </is>
      </c>
      <c r="E282" t="inlineStr">
        <is>
          <t>KIL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2026-06-26T00:51:16Z</dcterms:created>
  <dcterms:modified xmlns:dcterms="http://purl.org/dc/terms/" xmlns:xsi="http://www.w3.org/2001/XMLSchema-instance" xsi:type="dcterms:W3CDTF">2026-06-26T00:51:16Z</dcterms:modified>
</cp:coreProperties>
</file>