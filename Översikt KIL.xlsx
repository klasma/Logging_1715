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45995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45995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45995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45995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45995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45995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45995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45995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45995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45995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45995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45995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45995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45995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45995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45995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45995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45995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45995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45995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45995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45995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45995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45995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1269-2021</t>
        </is>
      </c>
      <c r="B62" s="1" t="n">
        <v>44208</v>
      </c>
      <c r="C62" s="1" t="n">
        <v>45995</v>
      </c>
      <c r="D62" t="inlineStr">
        <is>
          <t>VÄRMLANDS LÄN</t>
        </is>
      </c>
      <c r="E62" t="inlineStr">
        <is>
          <t>KIL</t>
        </is>
      </c>
      <c r="F62" t="inlineStr">
        <is>
          <t>Kyrkan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HYPERLINK("https://klasma.github.io/Logging_1715/knärot/A 1269-2021 karta knärot.png", "A 1269-2021")</f>
        <v/>
      </c>
      <c r="V62">
        <f>HYPERLINK("https://klasma.github.io/Logging_1715/klagomål/A 1269-2021 FSC-klagomål.docx", "A 1269-2021")</f>
        <v/>
      </c>
      <c r="W62">
        <f>HYPERLINK("https://klasma.github.io/Logging_1715/klagomålsmail/A 1269-2021 FSC-klagomål mail.docx", "A 1269-2021")</f>
        <v/>
      </c>
      <c r="X62">
        <f>HYPERLINK("https://klasma.github.io/Logging_1715/tillsyn/A 1269-2021 tillsynsbegäran.docx", "A 1269-2021")</f>
        <v/>
      </c>
      <c r="Y62">
        <f>HYPERLINK("https://klasma.github.io/Logging_1715/tillsynsmail/A 1269-2021 tillsynsbegäran mail.docx", "A 1269-2021")</f>
        <v/>
      </c>
    </row>
    <row r="63" ht="15" customHeight="1">
      <c r="A63" t="inlineStr">
        <is>
          <t>A 4445-2022</t>
        </is>
      </c>
      <c r="B63" s="1" t="n">
        <v>44589</v>
      </c>
      <c r="C63" s="1" t="n">
        <v>45995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1843-2025</t>
        </is>
      </c>
      <c r="B64" s="1" t="n">
        <v>45671.57612268518</v>
      </c>
      <c r="C64" s="1" t="n">
        <v>45995</v>
      </c>
      <c r="D64" t="inlineStr">
        <is>
          <t>VÄRMLANDS LÄN</t>
        </is>
      </c>
      <c r="E64" t="inlineStr">
        <is>
          <t>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45995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45995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45995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45995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66809-2021</t>
        </is>
      </c>
      <c r="B69" s="1" t="n">
        <v>44522.37934027778</v>
      </c>
      <c r="C69" s="1" t="n">
        <v>45995</v>
      </c>
      <c r="D69" t="inlineStr">
        <is>
          <t>VÄRMLANDS LÄN</t>
        </is>
      </c>
      <c r="E69" t="inlineStr">
        <is>
          <t>KIL</t>
        </is>
      </c>
      <c r="G69" t="n">
        <v>13.7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26645-2021</t>
        </is>
      </c>
      <c r="B70" s="1" t="n">
        <v>44348</v>
      </c>
      <c r="C70" s="1" t="n">
        <v>45995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45995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37962-2022</t>
        </is>
      </c>
      <c r="B72" s="1" t="n">
        <v>44811</v>
      </c>
      <c r="C72" s="1" t="n">
        <v>45995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56762-2021</t>
        </is>
      </c>
      <c r="B73" s="1" t="n">
        <v>44481.48305555555</v>
      </c>
      <c r="C73" s="1" t="n">
        <v>45995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71728-2021</t>
        </is>
      </c>
      <c r="B74" s="1" t="n">
        <v>44543.45789351852</v>
      </c>
      <c r="C74" s="1" t="n">
        <v>45995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6015-2023</t>
        </is>
      </c>
      <c r="B75" s="1" t="n">
        <v>44964.41993055555</v>
      </c>
      <c r="C75" s="1" t="n">
        <v>45995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3851-2025</t>
        </is>
      </c>
      <c r="B76" s="1" t="n">
        <v>45683.88302083333</v>
      </c>
      <c r="C76" s="1" t="n">
        <v>45995</v>
      </c>
      <c r="D76" t="inlineStr">
        <is>
          <t>VÄRMLANDS LÄN</t>
        </is>
      </c>
      <c r="E76" t="inlineStr">
        <is>
          <t>KIL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26263-2023</t>
        </is>
      </c>
      <c r="B77" s="1" t="n">
        <v>45091.60797453704</v>
      </c>
      <c r="C77" s="1" t="n">
        <v>45995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20743-2024</t>
        </is>
      </c>
      <c r="B78" s="1" t="n">
        <v>45436</v>
      </c>
      <c r="C78" s="1" t="n">
        <v>45995</v>
      </c>
      <c r="D78" t="inlineStr">
        <is>
          <t>VÄRMLANDS LÄN</t>
        </is>
      </c>
      <c r="E78" t="inlineStr">
        <is>
          <t>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7653-2022</t>
        </is>
      </c>
      <c r="B79" s="1" t="n">
        <v>44607</v>
      </c>
      <c r="C79" s="1" t="n">
        <v>45995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54497-2024</t>
        </is>
      </c>
      <c r="B80" s="1" t="n">
        <v>45617</v>
      </c>
      <c r="C80" s="1" t="n">
        <v>45995</v>
      </c>
      <c r="D80" t="inlineStr">
        <is>
          <t>VÄRMLANDS LÄN</t>
        </is>
      </c>
      <c r="E80" t="inlineStr">
        <is>
          <t>KIL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48787-2022</t>
        </is>
      </c>
      <c r="B81" s="1" t="n">
        <v>44859.60792824074</v>
      </c>
      <c r="C81" s="1" t="n">
        <v>45995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39492-2023</t>
        </is>
      </c>
      <c r="B82" s="1" t="n">
        <v>45166</v>
      </c>
      <c r="C82" s="1" t="n">
        <v>45995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24.9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53416-2023</t>
        </is>
      </c>
      <c r="B83" s="1" t="n">
        <v>45229</v>
      </c>
      <c r="C83" s="1" t="n">
        <v>45995</v>
      </c>
      <c r="D83" t="inlineStr">
        <is>
          <t>VÄRMLANDS LÄN</t>
        </is>
      </c>
      <c r="E83" t="inlineStr">
        <is>
          <t>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17559-2021</t>
        </is>
      </c>
      <c r="B84" s="1" t="n">
        <v>44299</v>
      </c>
      <c r="C84" s="1" t="n">
        <v>45995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73022-2021</t>
        </is>
      </c>
      <c r="B85" s="1" t="n">
        <v>44550</v>
      </c>
      <c r="C85" s="1" t="n">
        <v>45995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53959-2024</t>
        </is>
      </c>
      <c r="B86" s="1" t="n">
        <v>45616</v>
      </c>
      <c r="C86" s="1" t="n">
        <v>45995</v>
      </c>
      <c r="D86" t="inlineStr">
        <is>
          <t>VÄRMLANDS LÄN</t>
        </is>
      </c>
      <c r="E86" t="inlineStr">
        <is>
          <t>KIL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46220-2021</t>
        </is>
      </c>
      <c r="B87" s="1" t="n">
        <v>44442.50498842593</v>
      </c>
      <c r="C87" s="1" t="n">
        <v>45995</v>
      </c>
      <c r="D87" t="inlineStr">
        <is>
          <t>VÄRMLANDS LÄN</t>
        </is>
      </c>
      <c r="E87" t="inlineStr">
        <is>
          <t>KIL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44646-2024</t>
        </is>
      </c>
      <c r="B88" s="1" t="n">
        <v>45574</v>
      </c>
      <c r="C88" s="1" t="n">
        <v>45995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37169-2021</t>
        </is>
      </c>
      <c r="B89" s="1" t="n">
        <v>44395</v>
      </c>
      <c r="C89" s="1" t="n">
        <v>45995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18336-2023</t>
        </is>
      </c>
      <c r="B90" s="1" t="n">
        <v>45041</v>
      </c>
      <c r="C90" s="1" t="n">
        <v>45995</v>
      </c>
      <c r="D90" t="inlineStr">
        <is>
          <t>VÄRMLANDS LÄN</t>
        </is>
      </c>
      <c r="E90" t="inlineStr">
        <is>
          <t>KIL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62807-2023</t>
        </is>
      </c>
      <c r="B91" s="1" t="n">
        <v>45271.87197916667</v>
      </c>
      <c r="C91" s="1" t="n">
        <v>45995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14675-2024</t>
        </is>
      </c>
      <c r="B92" s="1" t="n">
        <v>45397.45333333333</v>
      </c>
      <c r="C92" s="1" t="n">
        <v>45995</v>
      </c>
      <c r="D92" t="inlineStr">
        <is>
          <t>VÄRMLANDS LÄN</t>
        </is>
      </c>
      <c r="E92" t="inlineStr">
        <is>
          <t>KIL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12195-2025</t>
        </is>
      </c>
      <c r="B93" s="1" t="n">
        <v>45729</v>
      </c>
      <c r="C93" s="1" t="n">
        <v>45995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58679-2021</t>
        </is>
      </c>
      <c r="B94" s="1" t="n">
        <v>44489</v>
      </c>
      <c r="C94" s="1" t="n">
        <v>45995</v>
      </c>
      <c r="D94" t="inlineStr">
        <is>
          <t>VÄRMLANDS LÄN</t>
        </is>
      </c>
      <c r="E94" t="inlineStr">
        <is>
          <t>KIL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20357-2021</t>
        </is>
      </c>
      <c r="B95" s="1" t="n">
        <v>44315</v>
      </c>
      <c r="C95" s="1" t="n">
        <v>45995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33475-2024</t>
        </is>
      </c>
      <c r="B96" s="1" t="n">
        <v>45519</v>
      </c>
      <c r="C96" s="1" t="n">
        <v>45995</v>
      </c>
      <c r="D96" t="inlineStr">
        <is>
          <t>VÄRMLANDS LÄN</t>
        </is>
      </c>
      <c r="E96" t="inlineStr">
        <is>
          <t>KIL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41074-2022</t>
        </is>
      </c>
      <c r="B97" s="1" t="n">
        <v>44825.60538194444</v>
      </c>
      <c r="C97" s="1" t="n">
        <v>45995</v>
      </c>
      <c r="D97" t="inlineStr">
        <is>
          <t>VÄRMLANDS LÄN</t>
        </is>
      </c>
      <c r="E97" t="inlineStr">
        <is>
          <t>KIL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12930-2025</t>
        </is>
      </c>
      <c r="B98" s="1" t="n">
        <v>45734</v>
      </c>
      <c r="C98" s="1" t="n">
        <v>45995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17946-2024</t>
        </is>
      </c>
      <c r="B99" s="1" t="n">
        <v>45419.63671296297</v>
      </c>
      <c r="C99" s="1" t="n">
        <v>45995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8910-2025</t>
        </is>
      </c>
      <c r="B100" s="1" t="n">
        <v>45713</v>
      </c>
      <c r="C100" s="1" t="n">
        <v>45995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8916-2025</t>
        </is>
      </c>
      <c r="B101" s="1" t="n">
        <v>45713</v>
      </c>
      <c r="C101" s="1" t="n">
        <v>45995</v>
      </c>
      <c r="D101" t="inlineStr">
        <is>
          <t>VÄRMLANDS LÄN</t>
        </is>
      </c>
      <c r="E101" t="inlineStr">
        <is>
          <t>KIL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17197-2024</t>
        </is>
      </c>
      <c r="B102" s="1" t="n">
        <v>45413</v>
      </c>
      <c r="C102" s="1" t="n">
        <v>45995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59064-2023</t>
        </is>
      </c>
      <c r="B103" s="1" t="n">
        <v>45252</v>
      </c>
      <c r="C103" s="1" t="n">
        <v>45995</v>
      </c>
      <c r="D103" t="inlineStr">
        <is>
          <t>VÄRMLANDS LÄN</t>
        </is>
      </c>
      <c r="E103" t="inlineStr">
        <is>
          <t>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HYPERLINK("https://klasma.github.io/Logging_1715/knärot/A 59064-2023 karta knärot.png", "A 59064-2023")</f>
        <v/>
      </c>
      <c r="V103">
        <f>HYPERLINK("https://klasma.github.io/Logging_1715/klagomål/A 59064-2023 FSC-klagomål.docx", "A 59064-2023")</f>
        <v/>
      </c>
      <c r="W103">
        <f>HYPERLINK("https://klasma.github.io/Logging_1715/klagomålsmail/A 59064-2023 FSC-klagomål mail.docx", "A 59064-2023")</f>
        <v/>
      </c>
      <c r="X103">
        <f>HYPERLINK("https://klasma.github.io/Logging_1715/tillsyn/A 59064-2023 tillsynsbegäran.docx", "A 59064-2023")</f>
        <v/>
      </c>
      <c r="Y103">
        <f>HYPERLINK("https://klasma.github.io/Logging_1715/tillsynsmail/A 59064-2023 tillsynsbegäran mail.docx", "A 59064-2023")</f>
        <v/>
      </c>
    </row>
    <row r="104" ht="15" customHeight="1">
      <c r="A104" t="inlineStr">
        <is>
          <t>A 72073-2021</t>
        </is>
      </c>
      <c r="B104" s="1" t="n">
        <v>44544.50324074074</v>
      </c>
      <c r="C104" s="1" t="n">
        <v>45995</v>
      </c>
      <c r="D104" t="inlineStr">
        <is>
          <t>VÄRMLANDS LÄN</t>
        </is>
      </c>
      <c r="E104" t="inlineStr">
        <is>
          <t>KIL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46117-2022</t>
        </is>
      </c>
      <c r="B105" s="1" t="n">
        <v>44847</v>
      </c>
      <c r="C105" s="1" t="n">
        <v>45995</v>
      </c>
      <c r="D105" t="inlineStr">
        <is>
          <t>VÄRMLANDS LÄN</t>
        </is>
      </c>
      <c r="E105" t="inlineStr">
        <is>
          <t>KIL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12652-2024</t>
        </is>
      </c>
      <c r="B106" s="1" t="n">
        <v>45384.35752314814</v>
      </c>
      <c r="C106" s="1" t="n">
        <v>45995</v>
      </c>
      <c r="D106" t="inlineStr">
        <is>
          <t>VÄRMLANDS LÄN</t>
        </is>
      </c>
      <c r="E106" t="inlineStr">
        <is>
          <t>KIL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14984-2024</t>
        </is>
      </c>
      <c r="B107" s="1" t="n">
        <v>45399.34143518518</v>
      </c>
      <c r="C107" s="1" t="n">
        <v>45995</v>
      </c>
      <c r="D107" t="inlineStr">
        <is>
          <t>VÄRMLANDS LÄN</t>
        </is>
      </c>
      <c r="E107" t="inlineStr">
        <is>
          <t>KIL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14987-2024</t>
        </is>
      </c>
      <c r="B108" s="1" t="n">
        <v>45399</v>
      </c>
      <c r="C108" s="1" t="n">
        <v>45995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5754-2025</t>
        </is>
      </c>
      <c r="B109" s="1" t="n">
        <v>45694</v>
      </c>
      <c r="C109" s="1" t="n">
        <v>45995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35817-2021</t>
        </is>
      </c>
      <c r="B110" s="1" t="n">
        <v>44386</v>
      </c>
      <c r="C110" s="1" t="n">
        <v>45995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59012-2024</t>
        </is>
      </c>
      <c r="B111" s="1" t="n">
        <v>45636</v>
      </c>
      <c r="C111" s="1" t="n">
        <v>45995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46288-2022</t>
        </is>
      </c>
      <c r="B112" s="1" t="n">
        <v>44847.71168981482</v>
      </c>
      <c r="C112" s="1" t="n">
        <v>45995</v>
      </c>
      <c r="D112" t="inlineStr">
        <is>
          <t>VÄRMLANDS LÄN</t>
        </is>
      </c>
      <c r="E112" t="inlineStr">
        <is>
          <t>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46290-2022</t>
        </is>
      </c>
      <c r="B113" s="1" t="n">
        <v>44847</v>
      </c>
      <c r="C113" s="1" t="n">
        <v>45995</v>
      </c>
      <c r="D113" t="inlineStr">
        <is>
          <t>VÄRMLANDS LÄN</t>
        </is>
      </c>
      <c r="E113" t="inlineStr">
        <is>
          <t>KIL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10398-2025</t>
        </is>
      </c>
      <c r="B114" s="1" t="n">
        <v>45720</v>
      </c>
      <c r="C114" s="1" t="n">
        <v>45995</v>
      </c>
      <c r="D114" t="inlineStr">
        <is>
          <t>VÄRMLANDS LÄN</t>
        </is>
      </c>
      <c r="E114" t="inlineStr">
        <is>
          <t>KIL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2-2023</t>
        </is>
      </c>
      <c r="B115" s="1" t="n">
        <v>44927.65268518519</v>
      </c>
      <c r="C115" s="1" t="n">
        <v>45995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53958-2024</t>
        </is>
      </c>
      <c r="B116" s="1" t="n">
        <v>45616</v>
      </c>
      <c r="C116" s="1" t="n">
        <v>45995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36305-2022</t>
        </is>
      </c>
      <c r="B117" s="1" t="n">
        <v>44803.65809027778</v>
      </c>
      <c r="C117" s="1" t="n">
        <v>45995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3-2023</t>
        </is>
      </c>
      <c r="B118" s="1" t="n">
        <v>44927</v>
      </c>
      <c r="C118" s="1" t="n">
        <v>45995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65004-2023</t>
        </is>
      </c>
      <c r="B119" s="1" t="n">
        <v>45287</v>
      </c>
      <c r="C119" s="1" t="n">
        <v>45995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65008-2023</t>
        </is>
      </c>
      <c r="B120" s="1" t="n">
        <v>45287</v>
      </c>
      <c r="C120" s="1" t="n">
        <v>45995</v>
      </c>
      <c r="D120" t="inlineStr">
        <is>
          <t>VÄRMLANDS LÄN</t>
        </is>
      </c>
      <c r="E120" t="inlineStr">
        <is>
          <t>KIL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27359-2025</t>
        </is>
      </c>
      <c r="B121" s="1" t="n">
        <v>45812.63760416667</v>
      </c>
      <c r="C121" s="1" t="n">
        <v>45995</v>
      </c>
      <c r="D121" t="inlineStr">
        <is>
          <t>VÄRMLANDS LÄN</t>
        </is>
      </c>
      <c r="E121" t="inlineStr">
        <is>
          <t>KIL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10635-2024</t>
        </is>
      </c>
      <c r="B122" s="1" t="n">
        <v>45367.44355324074</v>
      </c>
      <c r="C122" s="1" t="n">
        <v>45995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34402-2022</t>
        </is>
      </c>
      <c r="B123" s="1" t="n">
        <v>44792.52918981481</v>
      </c>
      <c r="C123" s="1" t="n">
        <v>45995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10374-2022</t>
        </is>
      </c>
      <c r="B124" s="1" t="n">
        <v>44623</v>
      </c>
      <c r="C124" s="1" t="n">
        <v>45995</v>
      </c>
      <c r="D124" t="inlineStr">
        <is>
          <t>VÄRMLANDS LÄN</t>
        </is>
      </c>
      <c r="E124" t="inlineStr">
        <is>
          <t>KIL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4069-2025</t>
        </is>
      </c>
      <c r="B125" s="1" t="n">
        <v>45684</v>
      </c>
      <c r="C125" s="1" t="n">
        <v>45995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58679-2021</t>
        </is>
      </c>
      <c r="B126" s="1" t="n">
        <v>44489</v>
      </c>
      <c r="C126" s="1" t="n">
        <v>45995</v>
      </c>
      <c r="D126" t="inlineStr">
        <is>
          <t>VÄRMLANDS LÄN</t>
        </is>
      </c>
      <c r="E126" t="inlineStr">
        <is>
          <t>KIL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27792-2023</t>
        </is>
      </c>
      <c r="B127" s="1" t="n">
        <v>45098.45302083333</v>
      </c>
      <c r="C127" s="1" t="n">
        <v>45995</v>
      </c>
      <c r="D127" t="inlineStr">
        <is>
          <t>VÄRMLANDS LÄN</t>
        </is>
      </c>
      <c r="E127" t="inlineStr">
        <is>
          <t>KIL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12252-2024</t>
        </is>
      </c>
      <c r="B128" s="1" t="n">
        <v>45378</v>
      </c>
      <c r="C128" s="1" t="n">
        <v>45995</v>
      </c>
      <c r="D128" t="inlineStr">
        <is>
          <t>VÄRMLANDS LÄN</t>
        </is>
      </c>
      <c r="E128" t="inlineStr">
        <is>
          <t>KIL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14921-2025</t>
        </is>
      </c>
      <c r="B129" s="1" t="n">
        <v>45743</v>
      </c>
      <c r="C129" s="1" t="n">
        <v>45995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32839-2023</t>
        </is>
      </c>
      <c r="B130" s="1" t="n">
        <v>45109</v>
      </c>
      <c r="C130" s="1" t="n">
        <v>45995</v>
      </c>
      <c r="D130" t="inlineStr">
        <is>
          <t>VÄRMLANDS LÄN</t>
        </is>
      </c>
      <c r="E130" t="inlineStr">
        <is>
          <t>KIL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62667-2023</t>
        </is>
      </c>
      <c r="B131" s="1" t="n">
        <v>45271.45626157407</v>
      </c>
      <c r="C131" s="1" t="n">
        <v>45995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12349-2025</t>
        </is>
      </c>
      <c r="B132" s="1" t="n">
        <v>45730</v>
      </c>
      <c r="C132" s="1" t="n">
        <v>45995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40742-2025</t>
        </is>
      </c>
      <c r="B133" s="1" t="n">
        <v>45897</v>
      </c>
      <c r="C133" s="1" t="n">
        <v>45995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40731-2025</t>
        </is>
      </c>
      <c r="B134" s="1" t="n">
        <v>45897</v>
      </c>
      <c r="C134" s="1" t="n">
        <v>45995</v>
      </c>
      <c r="D134" t="inlineStr">
        <is>
          <t>VÄRMLANDS LÄN</t>
        </is>
      </c>
      <c r="E134" t="inlineStr">
        <is>
          <t>KIL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2990-2022</t>
        </is>
      </c>
      <c r="B135" s="1" t="n">
        <v>44581.85012731481</v>
      </c>
      <c r="C135" s="1" t="n">
        <v>45995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2994-2022</t>
        </is>
      </c>
      <c r="B136" s="1" t="n">
        <v>44581.86648148148</v>
      </c>
      <c r="C136" s="1" t="n">
        <v>45995</v>
      </c>
      <c r="D136" t="inlineStr">
        <is>
          <t>VÄRMLANDS LÄN</t>
        </is>
      </c>
      <c r="E136" t="inlineStr">
        <is>
          <t>KIL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242-2024</t>
        </is>
      </c>
      <c r="B137" s="1" t="n">
        <v>45294</v>
      </c>
      <c r="C137" s="1" t="n">
        <v>45995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14507-2025</t>
        </is>
      </c>
      <c r="B138" s="1" t="n">
        <v>45741</v>
      </c>
      <c r="C138" s="1" t="n">
        <v>45995</v>
      </c>
      <c r="D138" t="inlineStr">
        <is>
          <t>VÄRMLANDS LÄN</t>
        </is>
      </c>
      <c r="E138" t="inlineStr">
        <is>
          <t>KIL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44677-2024</t>
        </is>
      </c>
      <c r="B139" s="1" t="n">
        <v>45574.54210648148</v>
      </c>
      <c r="C139" s="1" t="n">
        <v>45995</v>
      </c>
      <c r="D139" t="inlineStr">
        <is>
          <t>VÄRMLANDS LÄN</t>
        </is>
      </c>
      <c r="E139" t="inlineStr">
        <is>
          <t>KIL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35611-2024</t>
        </is>
      </c>
      <c r="B140" s="1" t="n">
        <v>45531</v>
      </c>
      <c r="C140" s="1" t="n">
        <v>45995</v>
      </c>
      <c r="D140" t="inlineStr">
        <is>
          <t>VÄRMLANDS LÄN</t>
        </is>
      </c>
      <c r="E140" t="inlineStr">
        <is>
          <t>KIL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45995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13094-2025</t>
        </is>
      </c>
      <c r="B142" s="1" t="n">
        <v>45734</v>
      </c>
      <c r="C142" s="1" t="n">
        <v>45995</v>
      </c>
      <c r="D142" t="inlineStr">
        <is>
          <t>VÄRMLANDS LÄN</t>
        </is>
      </c>
      <c r="E142" t="inlineStr">
        <is>
          <t>KIL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23794-2023</t>
        </is>
      </c>
      <c r="B143" s="1" t="n">
        <v>45078</v>
      </c>
      <c r="C143" s="1" t="n">
        <v>45995</v>
      </c>
      <c r="D143" t="inlineStr">
        <is>
          <t>VÄRMLANDS LÄN</t>
        </is>
      </c>
      <c r="E143" t="inlineStr">
        <is>
          <t>KIL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6503-2025</t>
        </is>
      </c>
      <c r="B144" s="1" t="n">
        <v>45699</v>
      </c>
      <c r="C144" s="1" t="n">
        <v>45995</v>
      </c>
      <c r="D144" t="inlineStr">
        <is>
          <t>VÄRMLANDS LÄN</t>
        </is>
      </c>
      <c r="E144" t="inlineStr">
        <is>
          <t>KIL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20745-2024</t>
        </is>
      </c>
      <c r="B145" s="1" t="n">
        <v>45436</v>
      </c>
      <c r="C145" s="1" t="n">
        <v>45995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53956-2024</t>
        </is>
      </c>
      <c r="B146" s="1" t="n">
        <v>45616</v>
      </c>
      <c r="C146" s="1" t="n">
        <v>45995</v>
      </c>
      <c r="D146" t="inlineStr">
        <is>
          <t>VÄRMLANDS LÄN</t>
        </is>
      </c>
      <c r="E146" t="inlineStr">
        <is>
          <t>KIL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57967-2021</t>
        </is>
      </c>
      <c r="B147" s="1" t="n">
        <v>44487</v>
      </c>
      <c r="C147" s="1" t="n">
        <v>45995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45995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56765-2021</t>
        </is>
      </c>
      <c r="B149" s="1" t="n">
        <v>44481.49040509259</v>
      </c>
      <c r="C149" s="1" t="n">
        <v>45995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33566-2024</t>
        </is>
      </c>
      <c r="B150" s="1" t="n">
        <v>45520</v>
      </c>
      <c r="C150" s="1" t="n">
        <v>45995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16596-2023</t>
        </is>
      </c>
      <c r="B151" s="1" t="n">
        <v>45030</v>
      </c>
      <c r="C151" s="1" t="n">
        <v>45995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8528-2025</t>
        </is>
      </c>
      <c r="B152" s="1" t="n">
        <v>45709</v>
      </c>
      <c r="C152" s="1" t="n">
        <v>45995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8541-2025</t>
        </is>
      </c>
      <c r="B153" s="1" t="n">
        <v>45709.605</v>
      </c>
      <c r="C153" s="1" t="n">
        <v>45995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15472-2025</t>
        </is>
      </c>
      <c r="B154" s="1" t="n">
        <v>45747</v>
      </c>
      <c r="C154" s="1" t="n">
        <v>45995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15477-2025</t>
        </is>
      </c>
      <c r="B155" s="1" t="n">
        <v>45747.54640046296</v>
      </c>
      <c r="C155" s="1" t="n">
        <v>45995</v>
      </c>
      <c r="D155" t="inlineStr">
        <is>
          <t>VÄRMLANDS LÄN</t>
        </is>
      </c>
      <c r="E155" t="inlineStr">
        <is>
          <t>KIL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54177-2023</t>
        </is>
      </c>
      <c r="B156" s="1" t="n">
        <v>45232</v>
      </c>
      <c r="C156" s="1" t="n">
        <v>45995</v>
      </c>
      <c r="D156" t="inlineStr">
        <is>
          <t>VÄRMLANDS LÄN</t>
        </is>
      </c>
      <c r="E156" t="inlineStr">
        <is>
          <t>KIL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22798-2024</t>
        </is>
      </c>
      <c r="B157" s="1" t="n">
        <v>45448</v>
      </c>
      <c r="C157" s="1" t="n">
        <v>45995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57211-2024</t>
        </is>
      </c>
      <c r="B158" s="1" t="n">
        <v>45629</v>
      </c>
      <c r="C158" s="1" t="n">
        <v>45995</v>
      </c>
      <c r="D158" t="inlineStr">
        <is>
          <t>VÄRMLANDS LÄN</t>
        </is>
      </c>
      <c r="E158" t="inlineStr">
        <is>
          <t>KIL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249-2022</t>
        </is>
      </c>
      <c r="B159" s="1" t="n">
        <v>44565</v>
      </c>
      <c r="C159" s="1" t="n">
        <v>45995</v>
      </c>
      <c r="D159" t="inlineStr">
        <is>
          <t>VÄRMLANDS LÄN</t>
        </is>
      </c>
      <c r="E159" t="inlineStr">
        <is>
          <t>KIL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39055-2024</t>
        </is>
      </c>
      <c r="B160" s="1" t="n">
        <v>45548</v>
      </c>
      <c r="C160" s="1" t="n">
        <v>45995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666-2023</t>
        </is>
      </c>
      <c r="B161" s="1" t="n">
        <v>44930</v>
      </c>
      <c r="C161" s="1" t="n">
        <v>45995</v>
      </c>
      <c r="D161" t="inlineStr">
        <is>
          <t>VÄRMLANDS LÄN</t>
        </is>
      </c>
      <c r="E161" t="inlineStr">
        <is>
          <t>KIL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43186-2025</t>
        </is>
      </c>
      <c r="B162" s="1" t="n">
        <v>45910</v>
      </c>
      <c r="C162" s="1" t="n">
        <v>45995</v>
      </c>
      <c r="D162" t="inlineStr">
        <is>
          <t>VÄRMLANDS LÄN</t>
        </is>
      </c>
      <c r="E162" t="inlineStr">
        <is>
          <t>KIL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43194-2025</t>
        </is>
      </c>
      <c r="B163" s="1" t="n">
        <v>45910</v>
      </c>
      <c r="C163" s="1" t="n">
        <v>45995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52438-2022</t>
        </is>
      </c>
      <c r="B164" s="1" t="n">
        <v>44874.4543287037</v>
      </c>
      <c r="C164" s="1" t="n">
        <v>45995</v>
      </c>
      <c r="D164" t="inlineStr">
        <is>
          <t>VÄRMLANDS LÄN</t>
        </is>
      </c>
      <c r="E164" t="inlineStr">
        <is>
          <t>KIL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42522-2021</t>
        </is>
      </c>
      <c r="B165" s="1" t="n">
        <v>44427</v>
      </c>
      <c r="C165" s="1" t="n">
        <v>45995</v>
      </c>
      <c r="D165" t="inlineStr">
        <is>
          <t>VÄRMLANDS LÄN</t>
        </is>
      </c>
      <c r="E165" t="inlineStr">
        <is>
          <t>KIL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3996-2022</t>
        </is>
      </c>
      <c r="B166" s="1" t="n">
        <v>44587</v>
      </c>
      <c r="C166" s="1" t="n">
        <v>45995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17329-2025</t>
        </is>
      </c>
      <c r="B167" s="1" t="n">
        <v>45756.64131944445</v>
      </c>
      <c r="C167" s="1" t="n">
        <v>45995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20476-2024</t>
        </is>
      </c>
      <c r="B168" s="1" t="n">
        <v>45435.69123842593</v>
      </c>
      <c r="C168" s="1" t="n">
        <v>45995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52621-2025</t>
        </is>
      </c>
      <c r="B169" s="1" t="n">
        <v>45953</v>
      </c>
      <c r="C169" s="1" t="n">
        <v>45995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52622-2025</t>
        </is>
      </c>
      <c r="B170" s="1" t="n">
        <v>45953</v>
      </c>
      <c r="C170" s="1" t="n">
        <v>45995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14143-2024</t>
        </is>
      </c>
      <c r="B171" s="1" t="n">
        <v>45392</v>
      </c>
      <c r="C171" s="1" t="n">
        <v>45995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15470-2025</t>
        </is>
      </c>
      <c r="B172" s="1" t="n">
        <v>45747</v>
      </c>
      <c r="C172" s="1" t="n">
        <v>45995</v>
      </c>
      <c r="D172" t="inlineStr">
        <is>
          <t>VÄRMLANDS LÄN</t>
        </is>
      </c>
      <c r="E172" t="inlineStr">
        <is>
          <t>KIL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53498-2023</t>
        </is>
      </c>
      <c r="B173" s="1" t="n">
        <v>45230</v>
      </c>
      <c r="C173" s="1" t="n">
        <v>45995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17806-2023</t>
        </is>
      </c>
      <c r="B174" s="1" t="n">
        <v>45037.57375</v>
      </c>
      <c r="C174" s="1" t="n">
        <v>45995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58935-2024</t>
        </is>
      </c>
      <c r="B175" s="1" t="n">
        <v>45636</v>
      </c>
      <c r="C175" s="1" t="n">
        <v>45995</v>
      </c>
      <c r="D175" t="inlineStr">
        <is>
          <t>VÄRMLANDS LÄN</t>
        </is>
      </c>
      <c r="E175" t="inlineStr">
        <is>
          <t>KIL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29615-2022</t>
        </is>
      </c>
      <c r="B176" s="1" t="n">
        <v>44754</v>
      </c>
      <c r="C176" s="1" t="n">
        <v>45995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52696-2025</t>
        </is>
      </c>
      <c r="B177" s="1" t="n">
        <v>45956.7075</v>
      </c>
      <c r="C177" s="1" t="n">
        <v>45995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24568-2024</t>
        </is>
      </c>
      <c r="B178" s="1" t="n">
        <v>45460.44770833333</v>
      </c>
      <c r="C178" s="1" t="n">
        <v>45995</v>
      </c>
      <c r="D178" t="inlineStr">
        <is>
          <t>VÄRMLANDS LÄN</t>
        </is>
      </c>
      <c r="E178" t="inlineStr">
        <is>
          <t>KIL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57483-2022</t>
        </is>
      </c>
      <c r="B179" s="1" t="n">
        <v>44896</v>
      </c>
      <c r="C179" s="1" t="n">
        <v>45995</v>
      </c>
      <c r="D179" t="inlineStr">
        <is>
          <t>VÄRMLANDS LÄN</t>
        </is>
      </c>
      <c r="E179" t="inlineStr">
        <is>
          <t>KIL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14739-2025</t>
        </is>
      </c>
      <c r="B180" s="1" t="n">
        <v>45742.64630787037</v>
      </c>
      <c r="C180" s="1" t="n">
        <v>45995</v>
      </c>
      <c r="D180" t="inlineStr">
        <is>
          <t>VÄRMLANDS LÄN</t>
        </is>
      </c>
      <c r="E180" t="inlineStr">
        <is>
          <t>KIL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12928-2025</t>
        </is>
      </c>
      <c r="B181" s="1" t="n">
        <v>45734</v>
      </c>
      <c r="C181" s="1" t="n">
        <v>45995</v>
      </c>
      <c r="D181" t="inlineStr">
        <is>
          <t>VÄRMLANDS LÄN</t>
        </is>
      </c>
      <c r="E181" t="inlineStr">
        <is>
          <t>KIL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59944-2024</t>
        </is>
      </c>
      <c r="B182" s="1" t="n">
        <v>45642.33300925926</v>
      </c>
      <c r="C182" s="1" t="n">
        <v>45995</v>
      </c>
      <c r="D182" t="inlineStr">
        <is>
          <t>VÄRMLANDS LÄN</t>
        </is>
      </c>
      <c r="E182" t="inlineStr">
        <is>
          <t>KIL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1320-2023</t>
        </is>
      </c>
      <c r="B183" s="1" t="n">
        <v>44936</v>
      </c>
      <c r="C183" s="1" t="n">
        <v>45995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59503-2022</t>
        </is>
      </c>
      <c r="B184" s="1" t="n">
        <v>44907.48916666667</v>
      </c>
      <c r="C184" s="1" t="n">
        <v>45995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30599-2023</t>
        </is>
      </c>
      <c r="B185" s="1" t="n">
        <v>45112</v>
      </c>
      <c r="C185" s="1" t="n">
        <v>45995</v>
      </c>
      <c r="D185" t="inlineStr">
        <is>
          <t>VÄRMLANDS LÄN</t>
        </is>
      </c>
      <c r="E185" t="inlineStr">
        <is>
          <t>KIL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52697-2025</t>
        </is>
      </c>
      <c r="B186" s="1" t="n">
        <v>45956.7144675926</v>
      </c>
      <c r="C186" s="1" t="n">
        <v>45995</v>
      </c>
      <c r="D186" t="inlineStr">
        <is>
          <t>VÄRMLANDS LÄN</t>
        </is>
      </c>
      <c r="E186" t="inlineStr">
        <is>
          <t>KIL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45995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12215-2021</t>
        </is>
      </c>
      <c r="B188" s="1" t="n">
        <v>44266</v>
      </c>
      <c r="C188" s="1" t="n">
        <v>45995</v>
      </c>
      <c r="D188" t="inlineStr">
        <is>
          <t>VÄRMLANDS LÄN</t>
        </is>
      </c>
      <c r="E188" t="inlineStr">
        <is>
          <t>KIL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64518-2021</t>
        </is>
      </c>
      <c r="B189" s="1" t="n">
        <v>44511.61383101852</v>
      </c>
      <c r="C189" s="1" t="n">
        <v>45995</v>
      </c>
      <c r="D189" t="inlineStr">
        <is>
          <t>VÄRMLANDS LÄN</t>
        </is>
      </c>
      <c r="E189" t="inlineStr">
        <is>
          <t>KIL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45995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45995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2708-2023</t>
        </is>
      </c>
      <c r="B192" s="1" t="n">
        <v>44942</v>
      </c>
      <c r="C192" s="1" t="n">
        <v>45995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64193-2021</t>
        </is>
      </c>
      <c r="B193" s="1" t="n">
        <v>44510.59939814815</v>
      </c>
      <c r="C193" s="1" t="n">
        <v>45995</v>
      </c>
      <c r="D193" t="inlineStr">
        <is>
          <t>VÄRMLANDS LÄN</t>
        </is>
      </c>
      <c r="E193" t="inlineStr">
        <is>
          <t>KIL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10634-2024</t>
        </is>
      </c>
      <c r="B194" s="1" t="n">
        <v>45367.43570601852</v>
      </c>
      <c r="C194" s="1" t="n">
        <v>45995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39039-2024</t>
        </is>
      </c>
      <c r="B195" s="1" t="n">
        <v>45548</v>
      </c>
      <c r="C195" s="1" t="n">
        <v>45995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46445-2024</t>
        </is>
      </c>
      <c r="B196" s="1" t="n">
        <v>45582.49783564815</v>
      </c>
      <c r="C196" s="1" t="n">
        <v>45995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12272-2024</t>
        </is>
      </c>
      <c r="B197" s="1" t="n">
        <v>45378</v>
      </c>
      <c r="C197" s="1" t="n">
        <v>45995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12281-2024</t>
        </is>
      </c>
      <c r="B198" s="1" t="n">
        <v>45378</v>
      </c>
      <c r="C198" s="1" t="n">
        <v>45995</v>
      </c>
      <c r="D198" t="inlineStr">
        <is>
          <t>VÄRMLANDS LÄN</t>
        </is>
      </c>
      <c r="E198" t="inlineStr">
        <is>
          <t>KIL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43285-2024</t>
        </is>
      </c>
      <c r="B199" s="1" t="n">
        <v>45568</v>
      </c>
      <c r="C199" s="1" t="n">
        <v>45995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7586-2025</t>
        </is>
      </c>
      <c r="B200" s="1" t="n">
        <v>45705</v>
      </c>
      <c r="C200" s="1" t="n">
        <v>45995</v>
      </c>
      <c r="D200" t="inlineStr">
        <is>
          <t>VÄRMLANDS LÄN</t>
        </is>
      </c>
      <c r="E200" t="inlineStr">
        <is>
          <t>KIL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53841-2025</t>
        </is>
      </c>
      <c r="B201" s="1" t="n">
        <v>45961.36053240741</v>
      </c>
      <c r="C201" s="1" t="n">
        <v>45995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53839-2025</t>
        </is>
      </c>
      <c r="B202" s="1" t="n">
        <v>45961.3575462963</v>
      </c>
      <c r="C202" s="1" t="n">
        <v>45995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40853-2024</t>
        </is>
      </c>
      <c r="B203" s="1" t="n">
        <v>45558</v>
      </c>
      <c r="C203" s="1" t="n">
        <v>45995</v>
      </c>
      <c r="D203" t="inlineStr">
        <is>
          <t>VÄRMLANDS LÄN</t>
        </is>
      </c>
      <c r="E203" t="inlineStr">
        <is>
          <t>KIL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24635-2024</t>
        </is>
      </c>
      <c r="B204" s="1" t="n">
        <v>45460</v>
      </c>
      <c r="C204" s="1" t="n">
        <v>45995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38760-2023</t>
        </is>
      </c>
      <c r="B205" s="1" t="n">
        <v>45163</v>
      </c>
      <c r="C205" s="1" t="n">
        <v>45995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64374-2023</t>
        </is>
      </c>
      <c r="B206" s="1" t="n">
        <v>45280.55791666666</v>
      </c>
      <c r="C206" s="1" t="n">
        <v>45995</v>
      </c>
      <c r="D206" t="inlineStr">
        <is>
          <t>VÄRMLANDS LÄN</t>
        </is>
      </c>
      <c r="E206" t="inlineStr">
        <is>
          <t>KIL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17240-2025</t>
        </is>
      </c>
      <c r="B207" s="1" t="n">
        <v>45756.48184027777</v>
      </c>
      <c r="C207" s="1" t="n">
        <v>45995</v>
      </c>
      <c r="D207" t="inlineStr">
        <is>
          <t>VÄRMLANDS LÄN</t>
        </is>
      </c>
      <c r="E207" t="inlineStr">
        <is>
          <t>KIL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45995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45995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45995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45538.83505787037</v>
      </c>
      <c r="C211" s="1" t="n">
        <v>45995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45776-2025</t>
        </is>
      </c>
      <c r="B212" s="1" t="n">
        <v>45923</v>
      </c>
      <c r="C212" s="1" t="n">
        <v>45995</v>
      </c>
      <c r="D212" t="inlineStr">
        <is>
          <t>VÄRMLANDS LÄN</t>
        </is>
      </c>
      <c r="E212" t="inlineStr">
        <is>
          <t>KIL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2688-2023</t>
        </is>
      </c>
      <c r="B213" s="1" t="n">
        <v>44942</v>
      </c>
      <c r="C213" s="1" t="n">
        <v>45995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59061-2023</t>
        </is>
      </c>
      <c r="B214" s="1" t="n">
        <v>45252</v>
      </c>
      <c r="C214" s="1" t="n">
        <v>45995</v>
      </c>
      <c r="D214" t="inlineStr">
        <is>
          <t>VÄRMLANDS LÄN</t>
        </is>
      </c>
      <c r="E214" t="inlineStr">
        <is>
          <t>KIL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30951-2022</t>
        </is>
      </c>
      <c r="B215" s="1" t="n">
        <v>44768</v>
      </c>
      <c r="C215" s="1" t="n">
        <v>45995</v>
      </c>
      <c r="D215" t="inlineStr">
        <is>
          <t>VÄRMLANDS LÄN</t>
        </is>
      </c>
      <c r="E215" t="inlineStr">
        <is>
          <t>KIL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10910-2023</t>
        </is>
      </c>
      <c r="B216" s="1" t="n">
        <v>44991</v>
      </c>
      <c r="C216" s="1" t="n">
        <v>45995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62669-2023</t>
        </is>
      </c>
      <c r="B217" s="1" t="n">
        <v>45271.46321759259</v>
      </c>
      <c r="C217" s="1" t="n">
        <v>45995</v>
      </c>
      <c r="D217" t="inlineStr">
        <is>
          <t>VÄRMLANDS LÄN</t>
        </is>
      </c>
      <c r="E217" t="inlineStr">
        <is>
          <t>KIL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45786-2025</t>
        </is>
      </c>
      <c r="B218" s="1" t="n">
        <v>45923.56116898148</v>
      </c>
      <c r="C218" s="1" t="n">
        <v>45995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15039-2022</t>
        </is>
      </c>
      <c r="B219" s="1" t="n">
        <v>44657.619375</v>
      </c>
      <c r="C219" s="1" t="n">
        <v>45995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5286-2023</t>
        </is>
      </c>
      <c r="B220" s="1" t="n">
        <v>44959</v>
      </c>
      <c r="C220" s="1" t="n">
        <v>45995</v>
      </c>
      <c r="D220" t="inlineStr">
        <is>
          <t>VÄRMLANDS LÄN</t>
        </is>
      </c>
      <c r="E220" t="inlineStr">
        <is>
          <t>KIL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35083-2024</t>
        </is>
      </c>
      <c r="B221" s="1" t="n">
        <v>45527.68989583333</v>
      </c>
      <c r="C221" s="1" t="n">
        <v>45995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35084-2024</t>
        </is>
      </c>
      <c r="B222" s="1" t="n">
        <v>45527.69265046297</v>
      </c>
      <c r="C222" s="1" t="n">
        <v>45995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5758-2025</t>
        </is>
      </c>
      <c r="B223" s="1" t="n">
        <v>45694</v>
      </c>
      <c r="C223" s="1" t="n">
        <v>45995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44660-2024</t>
        </is>
      </c>
      <c r="B224" s="1" t="n">
        <v>45574</v>
      </c>
      <c r="C224" s="1" t="n">
        <v>45995</v>
      </c>
      <c r="D224" t="inlineStr">
        <is>
          <t>VÄRMLANDS LÄN</t>
        </is>
      </c>
      <c r="E224" t="inlineStr">
        <is>
          <t>KIL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44666-2024</t>
        </is>
      </c>
      <c r="B225" s="1" t="n">
        <v>45574.53435185185</v>
      </c>
      <c r="C225" s="1" t="n">
        <v>45995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14618-2025</t>
        </is>
      </c>
      <c r="B226" s="1" t="n">
        <v>45742</v>
      </c>
      <c r="C226" s="1" t="n">
        <v>45995</v>
      </c>
      <c r="D226" t="inlineStr">
        <is>
          <t>VÄRMLANDS LÄN</t>
        </is>
      </c>
      <c r="E226" t="inlineStr">
        <is>
          <t>KIL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55444-2025</t>
        </is>
      </c>
      <c r="B227" s="1" t="n">
        <v>45971.49379629629</v>
      </c>
      <c r="C227" s="1" t="n">
        <v>45995</v>
      </c>
      <c r="D227" t="inlineStr">
        <is>
          <t>VÄRMLANDS LÄN</t>
        </is>
      </c>
      <c r="E227" t="inlineStr">
        <is>
          <t>KIL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13098-2025</t>
        </is>
      </c>
      <c r="B228" s="1" t="n">
        <v>45734</v>
      </c>
      <c r="C228" s="1" t="n">
        <v>45995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25435-2024</t>
        </is>
      </c>
      <c r="B229" s="1" t="n">
        <v>45463</v>
      </c>
      <c r="C229" s="1" t="n">
        <v>45995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47789-2025</t>
        </is>
      </c>
      <c r="B230" s="1" t="n">
        <v>45931</v>
      </c>
      <c r="C230" s="1" t="n">
        <v>45995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47791-2025</t>
        </is>
      </c>
      <c r="B231" s="1" t="n">
        <v>45931</v>
      </c>
      <c r="C231" s="1" t="n">
        <v>45995</v>
      </c>
      <c r="D231" t="inlineStr">
        <is>
          <t>VÄRMLANDS LÄN</t>
        </is>
      </c>
      <c r="E231" t="inlineStr">
        <is>
          <t>KIL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47798-2025</t>
        </is>
      </c>
      <c r="B232" s="1" t="n">
        <v>45931</v>
      </c>
      <c r="C232" s="1" t="n">
        <v>45995</v>
      </c>
      <c r="D232" t="inlineStr">
        <is>
          <t>VÄRMLANDS LÄN</t>
        </is>
      </c>
      <c r="E232" t="inlineStr">
        <is>
          <t>KIL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47804-2025</t>
        </is>
      </c>
      <c r="B233" s="1" t="n">
        <v>45931</v>
      </c>
      <c r="C233" s="1" t="n">
        <v>45995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5753-2025</t>
        </is>
      </c>
      <c r="B234" s="1" t="n">
        <v>45694</v>
      </c>
      <c r="C234" s="1" t="n">
        <v>45995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3826-2025</t>
        </is>
      </c>
      <c r="B235" s="1" t="n">
        <v>45681.75200231482</v>
      </c>
      <c r="C235" s="1" t="n">
        <v>45995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47801-2025</t>
        </is>
      </c>
      <c r="B236" s="1" t="n">
        <v>45931</v>
      </c>
      <c r="C236" s="1" t="n">
        <v>45995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47784-2025</t>
        </is>
      </c>
      <c r="B237" s="1" t="n">
        <v>45931</v>
      </c>
      <c r="C237" s="1" t="n">
        <v>45995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47788-2025</t>
        </is>
      </c>
      <c r="B238" s="1" t="n">
        <v>45931</v>
      </c>
      <c r="C238" s="1" t="n">
        <v>45995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11929-2023</t>
        </is>
      </c>
      <c r="B239" s="1" t="n">
        <v>44995.49393518519</v>
      </c>
      <c r="C239" s="1" t="n">
        <v>45995</v>
      </c>
      <c r="D239" t="inlineStr">
        <is>
          <t>VÄRMLANDS LÄN</t>
        </is>
      </c>
      <c r="E239" t="inlineStr">
        <is>
          <t>KIL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15962-2025</t>
        </is>
      </c>
      <c r="B240" s="1" t="n">
        <v>45749</v>
      </c>
      <c r="C240" s="1" t="n">
        <v>45995</v>
      </c>
      <c r="D240" t="inlineStr">
        <is>
          <t>VÄRMLANDS LÄN</t>
        </is>
      </c>
      <c r="E240" t="inlineStr">
        <is>
          <t>KIL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37622-2024</t>
        </is>
      </c>
      <c r="B241" s="1" t="n">
        <v>45541</v>
      </c>
      <c r="C241" s="1" t="n">
        <v>45995</v>
      </c>
      <c r="D241" t="inlineStr">
        <is>
          <t>VÄRMLANDS LÄN</t>
        </is>
      </c>
      <c r="E241" t="inlineStr">
        <is>
          <t>KIL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47722-2025</t>
        </is>
      </c>
      <c r="B242" s="1" t="n">
        <v>45931</v>
      </c>
      <c r="C242" s="1" t="n">
        <v>45995</v>
      </c>
      <c r="D242" t="inlineStr">
        <is>
          <t>VÄRMLANDS LÄN</t>
        </is>
      </c>
      <c r="E242" t="inlineStr">
        <is>
          <t>KIL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7822-2024</t>
        </is>
      </c>
      <c r="B243" s="1" t="n">
        <v>45349.71133101852</v>
      </c>
      <c r="C243" s="1" t="n">
        <v>45995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47704-2025</t>
        </is>
      </c>
      <c r="B244" s="1" t="n">
        <v>45931</v>
      </c>
      <c r="C244" s="1" t="n">
        <v>45995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45995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47786-2025</t>
        </is>
      </c>
      <c r="B246" s="1" t="n">
        <v>45931</v>
      </c>
      <c r="C246" s="1" t="n">
        <v>45995</v>
      </c>
      <c r="D246" t="inlineStr">
        <is>
          <t>VÄRMLANDS LÄN</t>
        </is>
      </c>
      <c r="E246" t="inlineStr">
        <is>
          <t>KIL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47797-2025</t>
        </is>
      </c>
      <c r="B247" s="1" t="n">
        <v>45931</v>
      </c>
      <c r="C247" s="1" t="n">
        <v>45995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8555-2025</t>
        </is>
      </c>
      <c r="B248" s="1" t="n">
        <v>45709</v>
      </c>
      <c r="C248" s="1" t="n">
        <v>45995</v>
      </c>
      <c r="D248" t="inlineStr">
        <is>
          <t>VÄRMLANDS LÄN</t>
        </is>
      </c>
      <c r="E248" t="inlineStr">
        <is>
          <t>KIL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22008-2025</t>
        </is>
      </c>
      <c r="B249" s="1" t="n">
        <v>45784</v>
      </c>
      <c r="C249" s="1" t="n">
        <v>45995</v>
      </c>
      <c r="D249" t="inlineStr">
        <is>
          <t>VÄRMLANDS LÄN</t>
        </is>
      </c>
      <c r="E249" t="inlineStr">
        <is>
          <t>KIL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48427-2025</t>
        </is>
      </c>
      <c r="B250" s="1" t="n">
        <v>45934</v>
      </c>
      <c r="C250" s="1" t="n">
        <v>45995</v>
      </c>
      <c r="D250" t="inlineStr">
        <is>
          <t>VÄRMLANDS LÄN</t>
        </is>
      </c>
      <c r="E250" t="inlineStr">
        <is>
          <t>KIL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8911-2025</t>
        </is>
      </c>
      <c r="B251" s="1" t="n">
        <v>45713</v>
      </c>
      <c r="C251" s="1" t="n">
        <v>45995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18049-2024</t>
        </is>
      </c>
      <c r="B252" s="1" t="n">
        <v>45420.38435185186</v>
      </c>
      <c r="C252" s="1" t="n">
        <v>45995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57011-2025</t>
        </is>
      </c>
      <c r="B253" s="1" t="n">
        <v>45978.80706018519</v>
      </c>
      <c r="C253" s="1" t="n">
        <v>45995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56954-2025</t>
        </is>
      </c>
      <c r="B254" s="1" t="n">
        <v>45978.65318287037</v>
      </c>
      <c r="C254" s="1" t="n">
        <v>45995</v>
      </c>
      <c r="D254" t="inlineStr">
        <is>
          <t>VÄRMLANDS LÄN</t>
        </is>
      </c>
      <c r="E254" t="inlineStr">
        <is>
          <t>KIL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45995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14954-2024</t>
        </is>
      </c>
      <c r="B256" s="1" t="n">
        <v>45398.85325231482</v>
      </c>
      <c r="C256" s="1" t="n">
        <v>45995</v>
      </c>
      <c r="D256" t="inlineStr">
        <is>
          <t>VÄRMLANDS LÄN</t>
        </is>
      </c>
      <c r="E256" t="inlineStr">
        <is>
          <t>KIL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65002-2023</t>
        </is>
      </c>
      <c r="B257" s="1" t="n">
        <v>45287</v>
      </c>
      <c r="C257" s="1" t="n">
        <v>45995</v>
      </c>
      <c r="D257" t="inlineStr">
        <is>
          <t>VÄRMLANDS LÄN</t>
        </is>
      </c>
      <c r="E257" t="inlineStr">
        <is>
          <t>KIL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45672-2024</t>
        </is>
      </c>
      <c r="B258" s="1" t="n">
        <v>45579</v>
      </c>
      <c r="C258" s="1" t="n">
        <v>45995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31032-2024</t>
        </is>
      </c>
      <c r="B259" s="1" t="n">
        <v>45501.41740740741</v>
      </c>
      <c r="C259" s="1" t="n">
        <v>45995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31033-2024</t>
        </is>
      </c>
      <c r="B260" s="1" t="n">
        <v>45501.43387731481</v>
      </c>
      <c r="C260" s="1" t="n">
        <v>45995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50461-2024</t>
        </is>
      </c>
      <c r="B261" s="1" t="n">
        <v>45601.45766203704</v>
      </c>
      <c r="C261" s="1" t="n">
        <v>45995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18948-2024</t>
        </is>
      </c>
      <c r="B262" s="1" t="n">
        <v>45427.49891203704</v>
      </c>
      <c r="C262" s="1" t="n">
        <v>45995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11330-2024</t>
        </is>
      </c>
      <c r="B263" s="1" t="n">
        <v>45371</v>
      </c>
      <c r="C263" s="1" t="n">
        <v>45995</v>
      </c>
      <c r="D263" t="inlineStr">
        <is>
          <t>VÄRMLANDS LÄN</t>
        </is>
      </c>
      <c r="E263" t="inlineStr">
        <is>
          <t>KIL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57220-2024</t>
        </is>
      </c>
      <c r="B264" s="1" t="n">
        <v>45629</v>
      </c>
      <c r="C264" s="1" t="n">
        <v>45995</v>
      </c>
      <c r="D264" t="inlineStr">
        <is>
          <t>VÄRMLANDS LÄN</t>
        </is>
      </c>
      <c r="E264" t="inlineStr">
        <is>
          <t>KIL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56957-2025</t>
        </is>
      </c>
      <c r="B265" s="1" t="n">
        <v>45978.6562037037</v>
      </c>
      <c r="C265" s="1" t="n">
        <v>45995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49604-2023</t>
        </is>
      </c>
      <c r="B266" s="1" t="n">
        <v>45207</v>
      </c>
      <c r="C266" s="1" t="n">
        <v>45995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59938-2024</t>
        </is>
      </c>
      <c r="B267" s="1" t="n">
        <v>45642.32818287037</v>
      </c>
      <c r="C267" s="1" t="n">
        <v>45995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49591-2025</t>
        </is>
      </c>
      <c r="B268" s="1" t="n">
        <v>45939</v>
      </c>
      <c r="C268" s="1" t="n">
        <v>45995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58244-2025</t>
        </is>
      </c>
      <c r="B269" s="1" t="n">
        <v>45985</v>
      </c>
      <c r="C269" s="1" t="n">
        <v>45995</v>
      </c>
      <c r="D269" t="inlineStr">
        <is>
          <t>VÄRMLANDS LÄN</t>
        </is>
      </c>
      <c r="E269" t="inlineStr">
        <is>
          <t>KIL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8534-2025</t>
        </is>
      </c>
      <c r="B270" s="1" t="n">
        <v>45709</v>
      </c>
      <c r="C270" s="1" t="n">
        <v>45995</v>
      </c>
      <c r="D270" t="inlineStr">
        <is>
          <t>VÄRMLANDS LÄN</t>
        </is>
      </c>
      <c r="E270" t="inlineStr">
        <is>
          <t>KIL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7368-2025</t>
        </is>
      </c>
      <c r="B271" s="1" t="n">
        <v>45704</v>
      </c>
      <c r="C271" s="1" t="n">
        <v>45995</v>
      </c>
      <c r="D271" t="inlineStr">
        <is>
          <t>VÄRMLANDS LÄN</t>
        </is>
      </c>
      <c r="E271" t="inlineStr">
        <is>
          <t>KIL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23786-2022</t>
        </is>
      </c>
      <c r="B272" s="1" t="n">
        <v>44722</v>
      </c>
      <c r="C272" s="1" t="n">
        <v>45995</v>
      </c>
      <c r="D272" t="inlineStr">
        <is>
          <t>VÄRMLANDS LÄN</t>
        </is>
      </c>
      <c r="E272" t="inlineStr">
        <is>
          <t>KIL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21032-2023</t>
        </is>
      </c>
      <c r="B273" s="1" t="n">
        <v>45061.56636574074</v>
      </c>
      <c r="C273" s="1" t="n">
        <v>45995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55306-2024</t>
        </is>
      </c>
      <c r="B274" s="1" t="n">
        <v>45621</v>
      </c>
      <c r="C274" s="1" t="n">
        <v>45995</v>
      </c>
      <c r="D274" t="inlineStr">
        <is>
          <t>VÄRMLANDS LÄN</t>
        </is>
      </c>
      <c r="E274" t="inlineStr">
        <is>
          <t>KIL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26270-2022</t>
        </is>
      </c>
      <c r="B275" s="1" t="n">
        <v>44735.5222337963</v>
      </c>
      <c r="C275" s="1" t="n">
        <v>45995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53957-2024</t>
        </is>
      </c>
      <c r="B276" s="1" t="n">
        <v>45616</v>
      </c>
      <c r="C276" s="1" t="n">
        <v>45995</v>
      </c>
      <c r="D276" t="inlineStr">
        <is>
          <t>VÄRMLANDS LÄN</t>
        </is>
      </c>
      <c r="E276" t="inlineStr">
        <is>
          <t>KIL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57386-2024</t>
        </is>
      </c>
      <c r="B277" s="1" t="n">
        <v>45629</v>
      </c>
      <c r="C277" s="1" t="n">
        <v>45995</v>
      </c>
      <c r="D277" t="inlineStr">
        <is>
          <t>VÄRMLANDS LÄN</t>
        </is>
      </c>
      <c r="E277" t="inlineStr">
        <is>
          <t>KIL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16868-2025</t>
        </is>
      </c>
      <c r="B278" s="1" t="n">
        <v>45754.88141203704</v>
      </c>
      <c r="C278" s="1" t="n">
        <v>45995</v>
      </c>
      <c r="D278" t="inlineStr">
        <is>
          <t>VÄRMLANDS LÄN</t>
        </is>
      </c>
      <c r="E278" t="inlineStr">
        <is>
          <t>KIL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50636-2025</t>
        </is>
      </c>
      <c r="B279" s="1" t="n">
        <v>45945</v>
      </c>
      <c r="C279" s="1" t="n">
        <v>45995</v>
      </c>
      <c r="D279" t="inlineStr">
        <is>
          <t>VÄRMLANDS LÄN</t>
        </is>
      </c>
      <c r="E279" t="inlineStr">
        <is>
          <t>KIL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9570-2021</t>
        </is>
      </c>
      <c r="B280" s="1" t="n">
        <v>44251</v>
      </c>
      <c r="C280" s="1" t="n">
        <v>45995</v>
      </c>
      <c r="D280" t="inlineStr">
        <is>
          <t>VÄRMLANDS LÄN</t>
        </is>
      </c>
      <c r="E280" t="inlineStr">
        <is>
          <t>KIL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60201-2024</t>
        </is>
      </c>
      <c r="B281" s="1" t="n">
        <v>45642</v>
      </c>
      <c r="C281" s="1" t="n">
        <v>45995</v>
      </c>
      <c r="D281" t="inlineStr">
        <is>
          <t>VÄRMLANDS LÄN</t>
        </is>
      </c>
      <c r="E281" t="inlineStr">
        <is>
          <t>KIL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65007-2023</t>
        </is>
      </c>
      <c r="B282" s="1" t="n">
        <v>45287</v>
      </c>
      <c r="C282" s="1" t="n">
        <v>45995</v>
      </c>
      <c r="D282" t="inlineStr">
        <is>
          <t>VÄRMLANDS LÄN</t>
        </is>
      </c>
      <c r="E282" t="inlineStr">
        <is>
          <t>KIL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54593-2025</t>
        </is>
      </c>
      <c r="B283" s="1" t="n">
        <v>45965.74945601852</v>
      </c>
      <c r="C283" s="1" t="n">
        <v>45995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45599-2023</t>
        </is>
      </c>
      <c r="B284" s="1" t="n">
        <v>45194.64255787037</v>
      </c>
      <c r="C284" s="1" t="n">
        <v>45995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11558-2025</t>
        </is>
      </c>
      <c r="B285" s="1" t="n">
        <v>45727.35804398148</v>
      </c>
      <c r="C285" s="1" t="n">
        <v>45995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16609-2025</t>
        </is>
      </c>
      <c r="B286" s="1" t="n">
        <v>45753</v>
      </c>
      <c r="C286" s="1" t="n">
        <v>45995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24494-2025</t>
        </is>
      </c>
      <c r="B287" s="1" t="n">
        <v>45798</v>
      </c>
      <c r="C287" s="1" t="n">
        <v>45995</v>
      </c>
      <c r="D287" t="inlineStr">
        <is>
          <t>VÄRMLANDS LÄN</t>
        </is>
      </c>
      <c r="E287" t="inlineStr">
        <is>
          <t>KIL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24247-2025</t>
        </is>
      </c>
      <c r="B288" s="1" t="n">
        <v>45797.39939814815</v>
      </c>
      <c r="C288" s="1" t="n">
        <v>45995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64140-2023</t>
        </is>
      </c>
      <c r="B289" s="1" t="n">
        <v>45279.5659375</v>
      </c>
      <c r="C289" s="1" t="n">
        <v>45995</v>
      </c>
      <c r="D289" t="inlineStr">
        <is>
          <t>VÄRMLANDS LÄN</t>
        </is>
      </c>
      <c r="E289" t="inlineStr">
        <is>
          <t>KIL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24262-2025</t>
        </is>
      </c>
      <c r="B290" s="1" t="n">
        <v>45797.42086805555</v>
      </c>
      <c r="C290" s="1" t="n">
        <v>45995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28195-2022</t>
        </is>
      </c>
      <c r="B291" s="1" t="n">
        <v>44746</v>
      </c>
      <c r="C291" s="1" t="n">
        <v>45995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58033-2023</t>
        </is>
      </c>
      <c r="B292" s="1" t="n">
        <v>45247</v>
      </c>
      <c r="C292" s="1" t="n">
        <v>45995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34408-2024</t>
        </is>
      </c>
      <c r="B293" s="1" t="n">
        <v>45525</v>
      </c>
      <c r="C293" s="1" t="n">
        <v>45995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12280-2024</t>
        </is>
      </c>
      <c r="B294" s="1" t="n">
        <v>45378</v>
      </c>
      <c r="C294" s="1" t="n">
        <v>45995</v>
      </c>
      <c r="D294" t="inlineStr">
        <is>
          <t>VÄRMLANDS LÄN</t>
        </is>
      </c>
      <c r="E294" t="inlineStr">
        <is>
          <t>KIL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18117-2025</t>
        </is>
      </c>
      <c r="B295" s="1" t="n">
        <v>45761</v>
      </c>
      <c r="C295" s="1" t="n">
        <v>45995</v>
      </c>
      <c r="D295" t="inlineStr">
        <is>
          <t>VÄRMLANDS LÄN</t>
        </is>
      </c>
      <c r="E295" t="inlineStr">
        <is>
          <t>KIL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5328-2021</t>
        </is>
      </c>
      <c r="B296" s="1" t="n">
        <v>44229.54461805556</v>
      </c>
      <c r="C296" s="1" t="n">
        <v>45995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48742-2021</t>
        </is>
      </c>
      <c r="B297" s="1" t="n">
        <v>44452.61798611111</v>
      </c>
      <c r="C297" s="1" t="n">
        <v>45995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6687-2023</t>
        </is>
      </c>
      <c r="B298" s="1" t="n">
        <v>44966.65414351852</v>
      </c>
      <c r="C298" s="1" t="n">
        <v>45995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73251-2021</t>
        </is>
      </c>
      <c r="B299" s="1" t="n">
        <v>44550</v>
      </c>
      <c r="C299" s="1" t="n">
        <v>45995</v>
      </c>
      <c r="D299" t="inlineStr">
        <is>
          <t>VÄRMLANDS LÄN</t>
        </is>
      </c>
      <c r="E299" t="inlineStr">
        <is>
          <t>KIL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56641-2023</t>
        </is>
      </c>
      <c r="B300" s="1" t="n">
        <v>45243</v>
      </c>
      <c r="C300" s="1" t="n">
        <v>45995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61229-2022</t>
        </is>
      </c>
      <c r="B301" s="1" t="n">
        <v>44915.56481481482</v>
      </c>
      <c r="C301" s="1" t="n">
        <v>45995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17635-2022</t>
        </is>
      </c>
      <c r="B302" s="1" t="n">
        <v>44680</v>
      </c>
      <c r="C302" s="1" t="n">
        <v>45995</v>
      </c>
      <c r="D302" t="inlineStr">
        <is>
          <t>VÄRMLANDS LÄN</t>
        </is>
      </c>
      <c r="E302" t="inlineStr">
        <is>
          <t>KIL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36296-2022</t>
        </is>
      </c>
      <c r="B303" s="1" t="n">
        <v>44803</v>
      </c>
      <c r="C303" s="1" t="n">
        <v>45995</v>
      </c>
      <c r="D303" t="inlineStr">
        <is>
          <t>VÄRMLANDS LÄN</t>
        </is>
      </c>
      <c r="E303" t="inlineStr">
        <is>
          <t>KIL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2077-2024</t>
        </is>
      </c>
      <c r="B304" s="1" t="n">
        <v>45309</v>
      </c>
      <c r="C304" s="1" t="n">
        <v>45995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61210-2023</t>
        </is>
      </c>
      <c r="B305" s="1" t="n">
        <v>45264.3956712963</v>
      </c>
      <c r="C305" s="1" t="n">
        <v>45995</v>
      </c>
      <c r="D305" t="inlineStr">
        <is>
          <t>VÄRMLANDS LÄN</t>
        </is>
      </c>
      <c r="E305" t="inlineStr">
        <is>
          <t>KIL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35453-2024</t>
        </is>
      </c>
      <c r="B306" s="1" t="n">
        <v>45531.45243055555</v>
      </c>
      <c r="C306" s="1" t="n">
        <v>45995</v>
      </c>
      <c r="D306" t="inlineStr">
        <is>
          <t>VÄRMLANDS LÄN</t>
        </is>
      </c>
      <c r="E306" t="inlineStr">
        <is>
          <t>KIL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57151-2023</t>
        </is>
      </c>
      <c r="B307" s="1" t="n">
        <v>45245</v>
      </c>
      <c r="C307" s="1" t="n">
        <v>45995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22566-2025</t>
        </is>
      </c>
      <c r="B308" s="1" t="n">
        <v>45789</v>
      </c>
      <c r="C308" s="1" t="n">
        <v>45995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26438-2025</t>
        </is>
      </c>
      <c r="B309" s="1" t="n">
        <v>45807</v>
      </c>
      <c r="C309" s="1" t="n">
        <v>45995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45591-2023</t>
        </is>
      </c>
      <c r="B310" s="1" t="n">
        <v>45194</v>
      </c>
      <c r="C310" s="1" t="n">
        <v>45995</v>
      </c>
      <c r="D310" t="inlineStr">
        <is>
          <t>VÄRMLANDS LÄN</t>
        </is>
      </c>
      <c r="E310" t="inlineStr">
        <is>
          <t>KIL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36795-2024</t>
        </is>
      </c>
      <c r="B311" s="1" t="n">
        <v>45538</v>
      </c>
      <c r="C311" s="1" t="n">
        <v>45995</v>
      </c>
      <c r="D311" t="inlineStr">
        <is>
          <t>VÄRMLANDS LÄN</t>
        </is>
      </c>
      <c r="E311" t="inlineStr">
        <is>
          <t>KIL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26978-2025</t>
        </is>
      </c>
      <c r="B312" s="1" t="n">
        <v>45811.48915509259</v>
      </c>
      <c r="C312" s="1" t="n">
        <v>45995</v>
      </c>
      <c r="D312" t="inlineStr">
        <is>
          <t>VÄRMLANDS LÄN</t>
        </is>
      </c>
      <c r="E312" t="inlineStr">
        <is>
          <t>KIL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26968-2025</t>
        </is>
      </c>
      <c r="B313" s="1" t="n">
        <v>45811.47616898148</v>
      </c>
      <c r="C313" s="1" t="n">
        <v>45995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26910-2025</t>
        </is>
      </c>
      <c r="B314" s="1" t="n">
        <v>45811.35489583333</v>
      </c>
      <c r="C314" s="1" t="n">
        <v>45995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26967-2025</t>
        </is>
      </c>
      <c r="B315" s="1" t="n">
        <v>45811.47222222222</v>
      </c>
      <c r="C315" s="1" t="n">
        <v>45995</v>
      </c>
      <c r="D315" t="inlineStr">
        <is>
          <t>VÄRMLANDS LÄN</t>
        </is>
      </c>
      <c r="E315" t="inlineStr">
        <is>
          <t>KIL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1847-2025</t>
        </is>
      </c>
      <c r="B316" s="1" t="n">
        <v>45671</v>
      </c>
      <c r="C316" s="1" t="n">
        <v>45995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10476-2025</t>
        </is>
      </c>
      <c r="B317" s="1" t="n">
        <v>45720</v>
      </c>
      <c r="C317" s="1" t="n">
        <v>45995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29914-2025</t>
        </is>
      </c>
      <c r="B318" s="1" t="n">
        <v>45826.41162037037</v>
      </c>
      <c r="C318" s="1" t="n">
        <v>45995</v>
      </c>
      <c r="D318" t="inlineStr">
        <is>
          <t>VÄRMLANDS LÄN</t>
        </is>
      </c>
      <c r="E318" t="inlineStr">
        <is>
          <t>KIL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45995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2314-2022</t>
        </is>
      </c>
      <c r="B320" s="1" t="n">
        <v>44578.78197916667</v>
      </c>
      <c r="C320" s="1" t="n">
        <v>45995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30260-2025</t>
        </is>
      </c>
      <c r="B321" s="1" t="n">
        <v>45827</v>
      </c>
      <c r="C321" s="1" t="n">
        <v>45995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46998-2024</t>
        </is>
      </c>
      <c r="B322" s="1" t="n">
        <v>45586.37576388889</v>
      </c>
      <c r="C322" s="1" t="n">
        <v>45995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30584-2025</t>
        </is>
      </c>
      <c r="B323" s="1" t="n">
        <v>45831</v>
      </c>
      <c r="C323" s="1" t="n">
        <v>45995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2263-2023</t>
        </is>
      </c>
      <c r="B324" s="1" t="n">
        <v>44941</v>
      </c>
      <c r="C324" s="1" t="n">
        <v>45995</v>
      </c>
      <c r="D324" t="inlineStr">
        <is>
          <t>VÄRMLANDS LÄN</t>
        </is>
      </c>
      <c r="E324" t="inlineStr">
        <is>
          <t>KIL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31559-2025</t>
        </is>
      </c>
      <c r="B325" s="1" t="n">
        <v>45833.65369212963</v>
      </c>
      <c r="C325" s="1" t="n">
        <v>45995</v>
      </c>
      <c r="D325" t="inlineStr">
        <is>
          <t>VÄRMLANDS LÄN</t>
        </is>
      </c>
      <c r="E325" t="inlineStr">
        <is>
          <t>KIL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32982-2025</t>
        </is>
      </c>
      <c r="B326" s="1" t="n">
        <v>45839</v>
      </c>
      <c r="C326" s="1" t="n">
        <v>45995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32410-2025</t>
        </is>
      </c>
      <c r="B327" s="1" t="n">
        <v>45838.33539351852</v>
      </c>
      <c r="C327" s="1" t="n">
        <v>45995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50252-2024</t>
        </is>
      </c>
      <c r="B328" s="1" t="n">
        <v>45600.57181712963</v>
      </c>
      <c r="C328" s="1" t="n">
        <v>45995</v>
      </c>
      <c r="D328" t="inlineStr">
        <is>
          <t>VÄRMLANDS LÄN</t>
        </is>
      </c>
      <c r="E328" t="inlineStr">
        <is>
          <t>KIL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4832-2022</t>
        </is>
      </c>
      <c r="B329" s="1" t="n">
        <v>44592.81854166667</v>
      </c>
      <c r="C329" s="1" t="n">
        <v>45995</v>
      </c>
      <c r="D329" t="inlineStr">
        <is>
          <t>VÄRMLANDS LÄN</t>
        </is>
      </c>
      <c r="E329" t="inlineStr">
        <is>
          <t>KIL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33913-2025</t>
        </is>
      </c>
      <c r="B330" s="1" t="n">
        <v>45842</v>
      </c>
      <c r="C330" s="1" t="n">
        <v>45995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33914-2025</t>
        </is>
      </c>
      <c r="B331" s="1" t="n">
        <v>45842</v>
      </c>
      <c r="C331" s="1" t="n">
        <v>45995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17473-2025</t>
        </is>
      </c>
      <c r="B332" s="1" t="n">
        <v>45757.47975694444</v>
      </c>
      <c r="C332" s="1" t="n">
        <v>45995</v>
      </c>
      <c r="D332" t="inlineStr">
        <is>
          <t>VÄRMLANDS LÄN</t>
        </is>
      </c>
      <c r="E332" t="inlineStr">
        <is>
          <t>KIL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38835-2024</t>
        </is>
      </c>
      <c r="B333" s="1" t="n">
        <v>45547</v>
      </c>
      <c r="C333" s="1" t="n">
        <v>45995</v>
      </c>
      <c r="D333" t="inlineStr">
        <is>
          <t>VÄRMLANDS LÄN</t>
        </is>
      </c>
      <c r="E333" t="inlineStr">
        <is>
          <t>KIL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59871-2024</t>
        </is>
      </c>
      <c r="B334" s="1" t="n">
        <v>45640</v>
      </c>
      <c r="C334" s="1" t="n">
        <v>45995</v>
      </c>
      <c r="D334" t="inlineStr">
        <is>
          <t>VÄRMLANDS LÄN</t>
        </is>
      </c>
      <c r="E334" t="inlineStr">
        <is>
          <t>KIL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35449-2024</t>
        </is>
      </c>
      <c r="B335" s="1" t="n">
        <v>45531</v>
      </c>
      <c r="C335" s="1" t="n">
        <v>45995</v>
      </c>
      <c r="D335" t="inlineStr">
        <is>
          <t>VÄRMLANDS LÄN</t>
        </is>
      </c>
      <c r="E335" t="inlineStr">
        <is>
          <t>KIL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2309-2024</t>
        </is>
      </c>
      <c r="B336" s="1" t="n">
        <v>45310</v>
      </c>
      <c r="C336" s="1" t="n">
        <v>45995</v>
      </c>
      <c r="D336" t="inlineStr">
        <is>
          <t>VÄRMLANDS LÄN</t>
        </is>
      </c>
      <c r="E336" t="inlineStr">
        <is>
          <t>KIL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2306-2024</t>
        </is>
      </c>
      <c r="B337" s="1" t="n">
        <v>45310.46356481482</v>
      </c>
      <c r="C337" s="1" t="n">
        <v>45995</v>
      </c>
      <c r="D337" t="inlineStr">
        <is>
          <t>VÄRMLANDS LÄN</t>
        </is>
      </c>
      <c r="E337" t="inlineStr">
        <is>
          <t>KIL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59200-2023</t>
        </is>
      </c>
      <c r="B338" s="1" t="n">
        <v>45253</v>
      </c>
      <c r="C338" s="1" t="n">
        <v>45995</v>
      </c>
      <c r="D338" t="inlineStr">
        <is>
          <t>VÄRMLANDS LÄN</t>
        </is>
      </c>
      <c r="E338" t="inlineStr">
        <is>
          <t>KIL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37360-2025</t>
        </is>
      </c>
      <c r="B339" s="1" t="n">
        <v>45877</v>
      </c>
      <c r="C339" s="1" t="n">
        <v>45995</v>
      </c>
      <c r="D339" t="inlineStr">
        <is>
          <t>VÄRMLANDS LÄN</t>
        </is>
      </c>
      <c r="E339" t="inlineStr">
        <is>
          <t>KIL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2025-12-04T10:26:56Z</dcterms:created>
  <dcterms:modified xmlns:dcterms="http://purl.org/dc/terms/" xmlns:xsi="http://www.w3.org/2001/XMLSchema-instance" xsi:type="dcterms:W3CDTF">2025-12-04T10:26:56Z</dcterms:modified>
</cp:coreProperties>
</file>