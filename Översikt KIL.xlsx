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46224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46224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46224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46224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46224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46224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46224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46224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8909-2025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45713</v>
      </c>
      <c r="E12" s="1" t="n">
        <v>46224</v>
      </c>
      <c r="F12" t="inlineStr">
        <is>
          <t>VÄRMLANDS LÄN</t>
        </is>
      </c>
      <c r="G12" t="inlineStr">
        <is>
          <t>KIL</t>
        </is>
      </c>
      <c r="I12" t="n">
        <v>22.6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Desmeknopp</t>
        </is>
      </c>
      <c r="W12">
        <f>HYPERLINK("https://klasma.github.io/Logging_1715/artfynd/A 8909-2025 artfynd.xlsx", "A 8909-2025")</f>
        <v/>
      </c>
      <c r="X12">
        <f>HYPERLINK("https://klasma.github.io/Logging_1715/kartor/A 8909-2025 karta.png", "A 8909-2025")</f>
        <v/>
      </c>
      <c r="Y12">
        <f>HYPERLINK("https://klasma.github.io/Logging_1715/kartor_geotiff/A 8909-2025 georefererad karta.tif", "A 8909-2025")</f>
        <v/>
      </c>
      <c r="AA12">
        <f>HYPERLINK("https://klasma.github.io/Logging_1715/klagomål/A 8909-2025 FSC-klagomål.docx", "A 8909-2025")</f>
        <v/>
      </c>
      <c r="AB12">
        <f>HYPERLINK("https://klasma.github.io/Logging_1715/klagomålsmail/A 8909-2025 FSC-klagomål mail.docx", "A 8909-2025")</f>
        <v/>
      </c>
      <c r="AC12">
        <f>HYPERLINK("https://klasma.github.io/Logging_1715/tillsyn/A 8909-2025 tillsynsbegäran.docx", "A 8909-2025")</f>
        <v/>
      </c>
      <c r="AD12">
        <f>HYPERLINK("https://klasma.github.io/Logging_1715/tillsynsmail/A 8909-2025 tillsynsbegäran mail.docx", "A 8909-2025")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46224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46224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56642-2022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44893</v>
      </c>
      <c r="E15" s="1" t="n">
        <v>46224</v>
      </c>
      <c r="F15" t="inlineStr">
        <is>
          <t>VÄRMLANDS LÄN</t>
        </is>
      </c>
      <c r="G15" t="inlineStr">
        <is>
          <t>KIL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HYPERLINK("https://klasma.github.io/Logging_1715/artfynd/A 56642-2022 artfynd.xlsx", "A 56642-2022")</f>
        <v/>
      </c>
      <c r="X15">
        <f>HYPERLINK("https://klasma.github.io/Logging_1715/kartor/A 56642-2022 karta.png", "A 56642-2022")</f>
        <v/>
      </c>
      <c r="Y15">
        <f>HYPERLINK("https://klasma.github.io/Logging_1715/kartor_geotiff/A 56642-2022 georefererad karta.tif", "A 56642-2022")</f>
        <v/>
      </c>
      <c r="AA15">
        <f>HYPERLINK("https://klasma.github.io/Logging_1715/klagomål/A 56642-2022 FSC-klagomål.docx", "A 56642-2022")</f>
        <v/>
      </c>
      <c r="AB15">
        <f>HYPERLINK("https://klasma.github.io/Logging_1715/klagomålsmail/A 56642-2022 FSC-klagomål mail.docx", "A 56642-2022")</f>
        <v/>
      </c>
      <c r="AC15">
        <f>HYPERLINK("https://klasma.github.io/Logging_1715/tillsyn/A 56642-2022 tillsynsbegäran.docx", "A 56642-2022")</f>
        <v/>
      </c>
      <c r="AD15">
        <f>HYPERLINK("https://klasma.github.io/Logging_1715/tillsynsmail/A 56642-2022 tillsynsbegäran mail.docx", "A 56642-2022")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46224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Brunfläckig pärlemorfjäril</t>
        </is>
      </c>
      <c r="W16">
        <f>HYPERLINK("https://klasma.github.io/Logging_1715/artfynd/A 53498-2023 artfynd.xlsx", "A 53498-2023")</f>
        <v/>
      </c>
      <c r="X16">
        <f>HYPERLINK("https://klasma.github.io/Logging_1715/kartor/A 53498-2023 karta.png", "A 53498-2023")</f>
        <v/>
      </c>
      <c r="Y16">
        <f>HYPERLINK("https://klasma.github.io/Logging_1715/kartor_geotiff/A 53498-2023 georefererad karta.tif", "A 53498-2023")</f>
        <v/>
      </c>
      <c r="AA16">
        <f>HYPERLINK("https://klasma.github.io/Logging_1715/klagomål/A 53498-2023 FSC-klagomål.docx", "A 53498-2023")</f>
        <v/>
      </c>
      <c r="AB16">
        <f>HYPERLINK("https://klasma.github.io/Logging_1715/klagomålsmail/A 53498-2023 FSC-klagomål mail.docx", "A 53498-2023")</f>
        <v/>
      </c>
      <c r="AC16">
        <f>HYPERLINK("https://klasma.github.io/Logging_1715/tillsyn/A 53498-2023 tillsynsbegäran.docx", "A 53498-2023")</f>
        <v/>
      </c>
      <c r="AD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46224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snok</t>
        </is>
      </c>
      <c r="W17">
        <f>HYPERLINK("https://klasma.github.io/Logging_1715/artfynd/A 1320-2023 artfynd.xlsx", "A 1320-2023")</f>
        <v/>
      </c>
      <c r="X17">
        <f>HYPERLINK("https://klasma.github.io/Logging_1715/kartor/A 1320-2023 karta.png", "A 1320-2023")</f>
        <v/>
      </c>
      <c r="Y17">
        <f>HYPERLINK("https://klasma.github.io/Logging_1715/kartor_geotiff/A 1320-2023 georefererad karta.tif", "A 1320-2023")</f>
        <v/>
      </c>
      <c r="AA17">
        <f>HYPERLINK("https://klasma.github.io/Logging_1715/klagomål/A 1320-2023 FSC-klagomål.docx", "A 1320-2023")</f>
        <v/>
      </c>
      <c r="AB17">
        <f>HYPERLINK("https://klasma.github.io/Logging_1715/klagomålsmail/A 1320-2023 FSC-klagomål mail.docx", "A 1320-2023")</f>
        <v/>
      </c>
      <c r="AC17">
        <f>HYPERLINK("https://klasma.github.io/Logging_1715/tillsyn/A 1320-2023 tillsynsbegäran.docx", "A 1320-2023")</f>
        <v/>
      </c>
      <c r="AD17">
        <f>HYPERLINK("https://klasma.github.io/Logging_1715/tillsynsmail/A 1320-2023 tillsynsbegäran mail.docx", "A 1320-2023")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46224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46224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HYPERLINK("https://klasma.github.io/Logging_1715/artfynd/A 11330-2024 artfynd.xlsx", "A 11330-2024")</f>
        <v/>
      </c>
      <c r="X19">
        <f>HYPERLINK("https://klasma.github.io/Logging_1715/kartor/A 11330-2024 karta.png", "A 11330-2024")</f>
        <v/>
      </c>
      <c r="Y19">
        <f>HYPERLINK("https://klasma.github.io/Logging_1715/kartor_geotiff/A 11330-2024 georefererad karta.tif", "A 11330-2024")</f>
        <v/>
      </c>
      <c r="AA19">
        <f>HYPERLINK("https://klasma.github.io/Logging_1715/klagomål/A 11330-2024 FSC-klagomål.docx", "A 11330-2024")</f>
        <v/>
      </c>
      <c r="AB19">
        <f>HYPERLINK("https://klasma.github.io/Logging_1715/klagomålsmail/A 11330-2024 FSC-klagomål mail.docx", "A 11330-2024")</f>
        <v/>
      </c>
      <c r="AC19">
        <f>HYPERLINK("https://klasma.github.io/Logging_1715/tillsyn/A 11330-2024 tillsynsbegäran.docx", "A 11330-2024")</f>
        <v/>
      </c>
      <c r="AD19">
        <f>HYPERLINK("https://klasma.github.io/Logging_1715/tillsynsmail/A 11330-2024 tillsynsbegäran mail.docx", "A 11330-2024")</f>
        <v/>
      </c>
    </row>
    <row r="20" ht="15" customHeight="1">
      <c r="A20" t="inlineStr">
        <is>
          <t>A 62010-2022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44914</v>
      </c>
      <c r="E20" s="1" t="n">
        <v>46224</v>
      </c>
      <c r="F20" t="inlineStr">
        <is>
          <t>VÄRMLANDS LÄN</t>
        </is>
      </c>
      <c r="G20" t="inlineStr">
        <is>
          <t>KIL</t>
        </is>
      </c>
      <c r="I20" t="n">
        <v>7.8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Ögonpyrola</t>
        </is>
      </c>
      <c r="W20">
        <f>HYPERLINK("https://klasma.github.io/Logging_1715/artfynd/A 62010-2022 artfynd.xlsx", "A 62010-2022")</f>
        <v/>
      </c>
      <c r="X20">
        <f>HYPERLINK("https://klasma.github.io/Logging_1715/kartor/A 62010-2022 karta.png", "A 62010-2022")</f>
        <v/>
      </c>
      <c r="Y20">
        <f>HYPERLINK("https://klasma.github.io/Logging_1715/kartor_geotiff/A 62010-2022 georefererad karta.tif", "A 62010-2022")</f>
        <v/>
      </c>
      <c r="AA20">
        <f>HYPERLINK("https://klasma.github.io/Logging_1715/klagomål/A 62010-2022 FSC-klagomål.docx", "A 62010-2022")</f>
        <v/>
      </c>
      <c r="AB20">
        <f>HYPERLINK("https://klasma.github.io/Logging_1715/klagomålsmail/A 62010-2022 FSC-klagomål mail.docx", "A 62010-2022")</f>
        <v/>
      </c>
      <c r="AC20">
        <f>HYPERLINK("https://klasma.github.io/Logging_1715/tillsyn/A 62010-2022 tillsynsbegäran.docx", "A 62010-2022")</f>
        <v/>
      </c>
      <c r="AD20">
        <f>HYPERLINK("https://klasma.github.io/Logging_1715/tillsynsmail/A 62010-2022 tillsynsbegäran mail.docx", "A 62010-2022")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46224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HYPERLINK("https://klasma.github.io/Logging_1715/artfynd/A 40853-2024 artfynd.xlsx", "A 40853-2024")</f>
        <v/>
      </c>
      <c r="X21">
        <f>HYPERLINK("https://klasma.github.io/Logging_1715/kartor/A 40853-2024 karta.png", "A 40853-2024")</f>
        <v/>
      </c>
      <c r="Y21">
        <f>HYPERLINK("https://klasma.github.io/Logging_1715/kartor_geotiff/A 40853-2024 georefererad karta.tif", "A 40853-2024")</f>
        <v/>
      </c>
      <c r="AA21">
        <f>HYPERLINK("https://klasma.github.io/Logging_1715/klagomål/A 40853-2024 FSC-klagomål.docx", "A 40853-2024")</f>
        <v/>
      </c>
      <c r="AB21">
        <f>HYPERLINK("https://klasma.github.io/Logging_1715/klagomålsmail/A 40853-2024 FSC-klagomål mail.docx", "A 40853-2024")</f>
        <v/>
      </c>
      <c r="AC21">
        <f>HYPERLINK("https://klasma.github.io/Logging_1715/tillsyn/A 40853-2024 tillsynsbegäran.docx", "A 40853-2024")</f>
        <v/>
      </c>
      <c r="AD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46224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46224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46224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46224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46224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38635-2021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44410</v>
      </c>
      <c r="E27" s="1" t="n">
        <v>46224</v>
      </c>
      <c r="F27" t="inlineStr">
        <is>
          <t>VÄRMLANDS LÄN</t>
        </is>
      </c>
      <c r="G27" t="inlineStr">
        <is>
          <t>KIL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46224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46224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46224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46224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46224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46224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46224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46224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46224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46224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46224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46224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46224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46224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46224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46224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46224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46224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46224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46224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46224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46224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46224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46224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46224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46224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46224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46224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46224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46224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46224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46224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46224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46224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46224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46224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46224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46224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46224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46224</v>
      </c>
      <c r="F67" t="inlineStr">
        <is>
          <t>VÄRMLANDS LÄN</t>
        </is>
      </c>
      <c r="G67" t="inlineStr">
        <is>
          <t>KIL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44927</v>
      </c>
      <c r="E68" s="1" t="n">
        <v>46224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46224</v>
      </c>
      <c r="F69" t="inlineStr">
        <is>
          <t>VÄRMLANDS LÄN</t>
        </is>
      </c>
      <c r="G69" t="inlineStr">
        <is>
          <t>KIL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46224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46224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46001</v>
      </c>
      <c r="E72" s="1" t="n">
        <v>46224</v>
      </c>
      <c r="F72" t="inlineStr">
        <is>
          <t>VÄRMLANDS LÄN</t>
        </is>
      </c>
      <c r="G72" t="inlineStr">
        <is>
          <t>KIL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46224</v>
      </c>
      <c r="F73" t="inlineStr">
        <is>
          <t>VÄRMLANDS LÄN</t>
        </is>
      </c>
      <c r="G73" t="inlineStr">
        <is>
          <t>KIL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31032-2024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45501</v>
      </c>
      <c r="E74" s="1" t="n">
        <v>46224</v>
      </c>
      <c r="F74" t="inlineStr">
        <is>
          <t>VÄRMLANDS LÄN</t>
        </is>
      </c>
      <c r="G74" t="inlineStr">
        <is>
          <t>KIL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45501</v>
      </c>
      <c r="E75" s="1" t="n">
        <v>46224</v>
      </c>
      <c r="F75" t="inlineStr">
        <is>
          <t>VÄRMLANDS LÄN</t>
        </is>
      </c>
      <c r="G75" t="inlineStr">
        <is>
          <t>KIL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46224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46224</v>
      </c>
      <c r="F77" t="inlineStr">
        <is>
          <t>VÄRMLANDS LÄN</t>
        </is>
      </c>
      <c r="G77" t="inlineStr">
        <is>
          <t>KIL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44803</v>
      </c>
      <c r="E78" s="1" t="n">
        <v>46224</v>
      </c>
      <c r="F78" t="inlineStr">
        <is>
          <t>VÄRMLANDS LÄN</t>
        </is>
      </c>
      <c r="G78" t="inlineStr">
        <is>
          <t>KIL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46224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46224</v>
      </c>
      <c r="F80" t="inlineStr">
        <is>
          <t>VÄRMLANDS LÄN</t>
        </is>
      </c>
      <c r="G80" t="inlineStr">
        <is>
          <t>KIL</t>
        </is>
      </c>
      <c r="I80" t="n">
        <v>17.9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46224</v>
      </c>
      <c r="F81" t="inlineStr">
        <is>
          <t>VÄRMLANDS LÄN</t>
        </is>
      </c>
      <c r="G81" t="inlineStr">
        <is>
          <t>KIL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45749</v>
      </c>
      <c r="E82" s="1" t="n">
        <v>46224</v>
      </c>
      <c r="F82" t="inlineStr">
        <is>
          <t>VÄRMLANDS LÄN</t>
        </is>
      </c>
      <c r="G82" t="inlineStr">
        <is>
          <t>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45538</v>
      </c>
      <c r="E83" s="1" t="n">
        <v>46224</v>
      </c>
      <c r="F83" t="inlineStr">
        <is>
          <t>VÄRMLANDS LÄN</t>
        </is>
      </c>
      <c r="G83" t="inlineStr">
        <is>
          <t>KIL</t>
        </is>
      </c>
      <c r="I83" t="n">
        <v>9.300000000000001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46224</v>
      </c>
      <c r="F84" t="inlineStr">
        <is>
          <t>VÄRMLANDS LÄN</t>
        </is>
      </c>
      <c r="G84" t="inlineStr">
        <is>
          <t>KIL</t>
        </is>
      </c>
      <c r="I84" t="n">
        <v>11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46224</v>
      </c>
      <c r="F85" t="inlineStr">
        <is>
          <t>VÄRMLANDS LÄN</t>
        </is>
      </c>
      <c r="G85" t="inlineStr">
        <is>
          <t>KIL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46224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46224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45294</v>
      </c>
      <c r="E88" s="1" t="n">
        <v>46224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46224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46224</v>
      </c>
      <c r="F90" t="inlineStr">
        <is>
          <t>VÄRMLANDS LÄN</t>
        </is>
      </c>
      <c r="G90" t="inlineStr">
        <is>
          <t>KIL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46224</v>
      </c>
      <c r="F91" t="inlineStr">
        <is>
          <t>VÄRMLANDS LÄN</t>
        </is>
      </c>
      <c r="G91" t="inlineStr">
        <is>
          <t>KIL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46224</v>
      </c>
      <c r="F92" t="inlineStr">
        <is>
          <t>VÄRMLANDS LÄN</t>
        </is>
      </c>
      <c r="G92" t="inlineStr">
        <is>
          <t>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45923</v>
      </c>
      <c r="E93" s="1" t="n">
        <v>46224</v>
      </c>
      <c r="F93" t="inlineStr">
        <is>
          <t>VÄRMLANDS LÄN</t>
        </is>
      </c>
      <c r="G93" t="inlineStr">
        <is>
          <t>KIL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46224</v>
      </c>
      <c r="F94" t="inlineStr">
        <is>
          <t>VÄRMLANDS LÄN</t>
        </is>
      </c>
      <c r="G94" t="inlineStr">
        <is>
          <t>KIL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46224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46224</v>
      </c>
      <c r="F96" t="inlineStr">
        <is>
          <t>VÄRMLANDS LÄN</t>
        </is>
      </c>
      <c r="G96" t="inlineStr">
        <is>
          <t>KIL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46224</v>
      </c>
      <c r="F97" t="inlineStr">
        <is>
          <t>VÄRMLANDS LÄN</t>
        </is>
      </c>
      <c r="G97" t="inlineStr">
        <is>
          <t>KIL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46224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46224</v>
      </c>
      <c r="F99" t="inlineStr">
        <is>
          <t>VÄRMLANDS LÄN</t>
        </is>
      </c>
      <c r="G99" t="inlineStr">
        <is>
          <t>KIL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45037</v>
      </c>
      <c r="E100" s="1" t="n">
        <v>46224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46224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46224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46224</v>
      </c>
      <c r="F103" t="inlineStr">
        <is>
          <t>VÄRMLANDS LÄN</t>
        </is>
      </c>
      <c r="G103" t="inlineStr">
        <is>
          <t>KIL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46020</v>
      </c>
      <c r="E104" s="1" t="n">
        <v>46224</v>
      </c>
      <c r="F104" t="inlineStr">
        <is>
          <t>VÄRMLANDS LÄN</t>
        </is>
      </c>
      <c r="G104" t="inlineStr">
        <is>
          <t>KIL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46224</v>
      </c>
      <c r="F105" t="inlineStr">
        <is>
          <t>VÄRMLANDS LÄN</t>
        </is>
      </c>
      <c r="G105" t="inlineStr">
        <is>
          <t>KIL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43285-2024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46224</v>
      </c>
      <c r="F106" t="inlineStr">
        <is>
          <t>VÄRMLANDS LÄN</t>
        </is>
      </c>
      <c r="G106" t="inlineStr">
        <is>
          <t>KIL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32982-2025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45839</v>
      </c>
      <c r="E107" s="1" t="n">
        <v>46224</v>
      </c>
      <c r="F107" t="inlineStr">
        <is>
          <t>VÄRMLANDS LÄN</t>
        </is>
      </c>
      <c r="G107" t="inlineStr">
        <is>
          <t>KIL</t>
        </is>
      </c>
      <c r="H107" t="inlineStr">
        <is>
          <t>Kyrkan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45838</v>
      </c>
      <c r="E108" s="1" t="n">
        <v>46224</v>
      </c>
      <c r="F108" t="inlineStr">
        <is>
          <t>VÄRMLANDS LÄN</t>
        </is>
      </c>
      <c r="G108" t="inlineStr">
        <is>
          <t>KIL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46224</v>
      </c>
      <c r="F109" t="inlineStr">
        <is>
          <t>VÄRMLANDS LÄN</t>
        </is>
      </c>
      <c r="G109" t="inlineStr">
        <is>
          <t>KIL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64193-2021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46224</v>
      </c>
      <c r="F110" t="inlineStr">
        <is>
          <t>VÄRMLANDS LÄN</t>
        </is>
      </c>
      <c r="G110" t="inlineStr">
        <is>
          <t>KIL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46224</v>
      </c>
      <c r="F111" t="inlineStr">
        <is>
          <t>VÄRMLANDS LÄN</t>
        </is>
      </c>
      <c r="G111" t="inlineStr">
        <is>
          <t>KIL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  <c r="Z111">
        <f>HYPERLINK("https://klasma.github.io/Logging_1715/knärot/A 59064-2023 karta knärot.png", "A 59064-2023")</f>
        <v/>
      </c>
      <c r="AA111">
        <f>HYPERLINK("https://klasma.github.io/Logging_1715/klagomål/A 59064-2023 FSC-klagomål.docx", "A 59064-2023")</f>
        <v/>
      </c>
      <c r="AB111">
        <f>HYPERLINK("https://klasma.github.io/Logging_1715/klagomålsmail/A 59064-2023 FSC-klagomål mail.docx", "A 59064-2023")</f>
        <v/>
      </c>
      <c r="AC111">
        <f>HYPERLINK("https://klasma.github.io/Logging_1715/tillsyn/A 59064-2023 tillsynsbegäran.docx", "A 59064-2023")</f>
        <v/>
      </c>
      <c r="AD111">
        <f>HYPERLINK("https://klasma.github.io/Logging_1715/tillsynsmail/A 59064-2023 tillsynsbegäran mail.docx", "A 59064-2023")</f>
        <v/>
      </c>
    </row>
    <row r="112" ht="15" customHeight="1">
      <c r="A112" t="inlineStr">
        <is>
          <t>A 17473-2025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45757</v>
      </c>
      <c r="E112" s="1" t="n">
        <v>46224</v>
      </c>
      <c r="F112" t="inlineStr">
        <is>
          <t>VÄRMLANDS LÄN</t>
        </is>
      </c>
      <c r="G112" t="inlineStr">
        <is>
          <t>KIL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45547</v>
      </c>
      <c r="E113" s="1" t="n">
        <v>46224</v>
      </c>
      <c r="F113" t="inlineStr">
        <is>
          <t>VÄRMLANDS LÄN</t>
        </is>
      </c>
      <c r="G113" t="inlineStr">
        <is>
          <t>KIL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45683</v>
      </c>
      <c r="E114" s="1" t="n">
        <v>46224</v>
      </c>
      <c r="F114" t="inlineStr">
        <is>
          <t>VÄRMLANDS LÄN</t>
        </is>
      </c>
      <c r="G114" t="inlineStr">
        <is>
          <t>KIL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46224</v>
      </c>
      <c r="F115" t="inlineStr">
        <is>
          <t>VÄRMLANDS LÄN</t>
        </is>
      </c>
      <c r="G115" t="inlineStr">
        <is>
          <t>KIL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46224</v>
      </c>
      <c r="F116" t="inlineStr">
        <is>
          <t>VÄRMLANDS LÄN</t>
        </is>
      </c>
      <c r="G116" t="inlineStr">
        <is>
          <t>KIL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46224</v>
      </c>
      <c r="F117" t="inlineStr">
        <is>
          <t>VÄRMLANDS LÄN</t>
        </is>
      </c>
      <c r="G117" t="inlineStr">
        <is>
          <t>KIL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46224</v>
      </c>
      <c r="F118" t="inlineStr">
        <is>
          <t>VÄRMLANDS LÄN</t>
        </is>
      </c>
      <c r="G118" t="inlineStr">
        <is>
          <t>KIL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46224</v>
      </c>
      <c r="F119" t="inlineStr">
        <is>
          <t>VÄRMLANDS LÄN</t>
        </is>
      </c>
      <c r="G119" t="inlineStr">
        <is>
          <t>KIL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46224</v>
      </c>
      <c r="F120" t="inlineStr">
        <is>
          <t>VÄRMLANDS LÄN</t>
        </is>
      </c>
      <c r="G120" t="inlineStr">
        <is>
          <t>KIL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46224</v>
      </c>
      <c r="F121" t="inlineStr">
        <is>
          <t>VÄRMLANDS LÄN</t>
        </is>
      </c>
      <c r="G121" t="inlineStr">
        <is>
          <t>KIL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46224</v>
      </c>
      <c r="F122" t="inlineStr">
        <is>
          <t>VÄRMLANDS LÄN</t>
        </is>
      </c>
      <c r="G122" t="inlineStr">
        <is>
          <t>KIL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46224</v>
      </c>
      <c r="F123" t="inlineStr">
        <is>
          <t>VÄRMLANDS LÄN</t>
        </is>
      </c>
      <c r="G123" t="inlineStr">
        <is>
          <t>KIL</t>
        </is>
      </c>
      <c r="H123" t="inlineStr">
        <is>
          <t>Kyrkan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46224</v>
      </c>
      <c r="F124" t="inlineStr">
        <is>
          <t>VÄRMLANDS LÄN</t>
        </is>
      </c>
      <c r="G124" t="inlineStr">
        <is>
          <t>KIL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46224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46224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46224</v>
      </c>
      <c r="F127" t="inlineStr">
        <is>
          <t>VÄRMLANDS LÄN</t>
        </is>
      </c>
      <c r="G127" t="inlineStr">
        <is>
          <t>KIL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44657</v>
      </c>
      <c r="E128" s="1" t="n">
        <v>46224</v>
      </c>
      <c r="F128" t="inlineStr">
        <is>
          <t>VÄRMLANDS LÄN</t>
        </is>
      </c>
      <c r="G128" t="inlineStr">
        <is>
          <t>KIL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46224</v>
      </c>
      <c r="F129" t="inlineStr">
        <is>
          <t>VÄRMLANDS LÄN</t>
        </is>
      </c>
      <c r="G129" t="inlineStr">
        <is>
          <t>KIL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45287</v>
      </c>
      <c r="E130" s="1" t="n">
        <v>46224</v>
      </c>
      <c r="F130" t="inlineStr">
        <is>
          <t>VÄRMLANDS LÄN</t>
        </is>
      </c>
      <c r="G130" t="inlineStr">
        <is>
          <t>KIL</t>
        </is>
      </c>
      <c r="I130" t="n">
        <v>14.2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48742-2021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46224</v>
      </c>
      <c r="F131" t="inlineStr">
        <is>
          <t>VÄRMLANDS LÄN</t>
        </is>
      </c>
      <c r="G131" t="inlineStr">
        <is>
          <t>KIL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46224</v>
      </c>
      <c r="F132" t="inlineStr">
        <is>
          <t>VÄRMLANDS LÄN</t>
        </is>
      </c>
      <c r="G132" t="inlineStr">
        <is>
          <t>KIL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58679-2021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44489</v>
      </c>
      <c r="E133" s="1" t="n">
        <v>46224</v>
      </c>
      <c r="F133" t="inlineStr">
        <is>
          <t>VÄRMLANDS LÄN</t>
        </is>
      </c>
      <c r="G133" t="inlineStr">
        <is>
          <t>KIL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46224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46224</v>
      </c>
      <c r="F135" t="inlineStr">
        <is>
          <t>VÄRMLANDS LÄN</t>
        </is>
      </c>
      <c r="G135" t="inlineStr">
        <is>
          <t>KIL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46224</v>
      </c>
      <c r="F136" t="inlineStr">
        <is>
          <t>VÄRMLANDS LÄN</t>
        </is>
      </c>
      <c r="G136" t="inlineStr">
        <is>
          <t>KIL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44768</v>
      </c>
      <c r="E137" s="1" t="n">
        <v>46224</v>
      </c>
      <c r="F137" t="inlineStr">
        <is>
          <t>VÄRMLANDS LÄN</t>
        </is>
      </c>
      <c r="G137" t="inlineStr">
        <is>
          <t>KIL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56957-2025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45978</v>
      </c>
      <c r="E138" s="1" t="n">
        <v>46224</v>
      </c>
      <c r="F138" t="inlineStr">
        <is>
          <t>VÄRMLANDS LÄN</t>
        </is>
      </c>
      <c r="G138" t="inlineStr">
        <is>
          <t>KIL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45579</v>
      </c>
      <c r="E139" s="1" t="n">
        <v>46224</v>
      </c>
      <c r="F139" t="inlineStr">
        <is>
          <t>VÄRMLANDS LÄN</t>
        </is>
      </c>
      <c r="G139" t="inlineStr">
        <is>
          <t>KIL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46224</v>
      </c>
      <c r="F140" t="inlineStr">
        <is>
          <t>VÄRMLANDS LÄN</t>
        </is>
      </c>
      <c r="G140" t="inlineStr">
        <is>
          <t>KIL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46224</v>
      </c>
      <c r="F141" t="inlineStr">
        <is>
          <t>VÄRMLANDS LÄN</t>
        </is>
      </c>
      <c r="G141" t="inlineStr">
        <is>
          <t>KIL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46224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30599-2023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46224</v>
      </c>
      <c r="F143" t="inlineStr">
        <is>
          <t>VÄRMLANDS LÄN</t>
        </is>
      </c>
      <c r="G143" t="inlineStr">
        <is>
          <t>KIL</t>
        </is>
      </c>
      <c r="I143" t="n">
        <v>10.1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46224</v>
      </c>
      <c r="F144" t="inlineStr">
        <is>
          <t>VÄRMLANDS LÄN</t>
        </is>
      </c>
      <c r="G144" t="inlineStr">
        <is>
          <t>KIL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46224</v>
      </c>
      <c r="F145" t="inlineStr">
        <is>
          <t>VÄRMLANDS LÄN</t>
        </is>
      </c>
      <c r="G145" t="inlineStr">
        <is>
          <t>KIL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46224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46224</v>
      </c>
      <c r="F147" t="inlineStr">
        <is>
          <t>VÄRMLANDS LÄN</t>
        </is>
      </c>
      <c r="G147" t="inlineStr">
        <is>
          <t>KIL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46224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64374-2023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46224</v>
      </c>
      <c r="F149" t="inlineStr">
        <is>
          <t>VÄRMLANDS LÄN</t>
        </is>
      </c>
      <c r="G149" t="inlineStr">
        <is>
          <t>KIL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46224</v>
      </c>
      <c r="F150" t="inlineStr">
        <is>
          <t>VÄRMLANDS LÄN</t>
        </is>
      </c>
      <c r="G150" t="inlineStr">
        <is>
          <t>KIL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44680</v>
      </c>
      <c r="E151" s="1" t="n">
        <v>46224</v>
      </c>
      <c r="F151" t="inlineStr">
        <is>
          <t>VÄRMLANDS LÄN</t>
        </is>
      </c>
      <c r="G151" t="inlineStr">
        <is>
          <t>KIL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45527</v>
      </c>
      <c r="E152" s="1" t="n">
        <v>46224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45427</v>
      </c>
      <c r="E153" s="1" t="n">
        <v>46224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46224</v>
      </c>
      <c r="F154" t="inlineStr">
        <is>
          <t>VÄRMLANDS LÄN</t>
        </is>
      </c>
      <c r="G154" t="inlineStr">
        <is>
          <t>KIL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46224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46224</v>
      </c>
      <c r="F156" t="inlineStr">
        <is>
          <t>VÄRMLANDS LÄN</t>
        </is>
      </c>
      <c r="G156" t="inlineStr">
        <is>
          <t>KIL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46224</v>
      </c>
      <c r="F157" t="inlineStr">
        <is>
          <t>VÄRMLANDS LÄN</t>
        </is>
      </c>
      <c r="G157" t="inlineStr">
        <is>
          <t>KIL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46224</v>
      </c>
      <c r="F158" t="inlineStr">
        <is>
          <t>VÄRMLANDS LÄN</t>
        </is>
      </c>
      <c r="G158" t="inlineStr">
        <is>
          <t>KIL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46224</v>
      </c>
      <c r="F159" t="inlineStr">
        <is>
          <t>VÄRMLANDS LÄN</t>
        </is>
      </c>
      <c r="G159" t="inlineStr">
        <is>
          <t>KIL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46224</v>
      </c>
      <c r="F160" t="inlineStr">
        <is>
          <t>VÄRMLANDS LÄN</t>
        </is>
      </c>
      <c r="G160" t="inlineStr">
        <is>
          <t>KIL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46224</v>
      </c>
      <c r="F161" t="inlineStr">
        <is>
          <t>VÄRMLANDS LÄN</t>
        </is>
      </c>
      <c r="G161" t="inlineStr">
        <is>
          <t>KIL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46224</v>
      </c>
      <c r="F162" t="inlineStr">
        <is>
          <t>VÄRMLANDS LÄN</t>
        </is>
      </c>
      <c r="G162" t="inlineStr">
        <is>
          <t>KIL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44991</v>
      </c>
      <c r="E163" s="1" t="n">
        <v>46224</v>
      </c>
      <c r="F163" t="inlineStr">
        <is>
          <t>VÄRMLANDS LÄN</t>
        </is>
      </c>
      <c r="G163" t="inlineStr">
        <is>
          <t>KIL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45384</v>
      </c>
      <c r="E164" s="1" t="n">
        <v>46224</v>
      </c>
      <c r="F164" t="inlineStr">
        <is>
          <t>VÄRMLANDS LÄN</t>
        </is>
      </c>
      <c r="G164" t="inlineStr">
        <is>
          <t>KIL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46224</v>
      </c>
      <c r="F165" t="inlineStr">
        <is>
          <t>VÄRMLANDS LÄN</t>
        </is>
      </c>
      <c r="G165" t="inlineStr">
        <is>
          <t>KIL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46224</v>
      </c>
      <c r="F166" t="inlineStr">
        <is>
          <t>VÄRMLANDS LÄN</t>
        </is>
      </c>
      <c r="G166" t="inlineStr">
        <is>
          <t>KIL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46224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46224</v>
      </c>
      <c r="F168" t="inlineStr">
        <is>
          <t>VÄRMLANDS LÄN</t>
        </is>
      </c>
      <c r="G168" t="inlineStr">
        <is>
          <t>KIL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46224</v>
      </c>
      <c r="F169" t="inlineStr">
        <is>
          <t>VÄRMLANDS LÄN</t>
        </is>
      </c>
      <c r="G169" t="inlineStr">
        <is>
          <t>KIL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46224</v>
      </c>
      <c r="F170" t="inlineStr">
        <is>
          <t>VÄRMLANDS LÄN</t>
        </is>
      </c>
      <c r="G170" t="inlineStr">
        <is>
          <t>KIL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34408-2024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45525</v>
      </c>
      <c r="E171" s="1" t="n">
        <v>46224</v>
      </c>
      <c r="F171" t="inlineStr">
        <is>
          <t>VÄRMLANDS LÄN</t>
        </is>
      </c>
      <c r="G171" t="inlineStr">
        <is>
          <t>KIL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46224</v>
      </c>
      <c r="F172" t="inlineStr">
        <is>
          <t>VÄRMLANDS LÄN</t>
        </is>
      </c>
      <c r="G172" t="inlineStr">
        <is>
          <t>KIL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46224</v>
      </c>
      <c r="F173" t="inlineStr">
        <is>
          <t>VÄRMLANDS LÄN</t>
        </is>
      </c>
      <c r="G173" t="inlineStr">
        <is>
          <t>KIL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46224</v>
      </c>
      <c r="F174" t="inlineStr">
        <is>
          <t>VÄRMLANDS LÄN</t>
        </is>
      </c>
      <c r="G174" t="inlineStr">
        <is>
          <t>KIL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45404</v>
      </c>
      <c r="E175" s="1" t="n">
        <v>46224</v>
      </c>
      <c r="F175" t="inlineStr">
        <is>
          <t>VÄRMLANDS LÄN</t>
        </is>
      </c>
      <c r="G175" t="inlineStr">
        <is>
          <t>KIL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73251-2021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46224</v>
      </c>
      <c r="F176" t="inlineStr">
        <is>
          <t>VÄRMLANDS LÄN</t>
        </is>
      </c>
      <c r="G176" t="inlineStr">
        <is>
          <t>KIL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46224</v>
      </c>
      <c r="F177" t="inlineStr">
        <is>
          <t>VÄRMLANDS LÄN</t>
        </is>
      </c>
      <c r="G177" t="inlineStr">
        <is>
          <t>KIL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46224</v>
      </c>
      <c r="F178" t="inlineStr">
        <is>
          <t>VÄRMLANDS LÄN</t>
        </is>
      </c>
      <c r="G178" t="inlineStr">
        <is>
          <t>KIL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46224</v>
      </c>
      <c r="F179" t="inlineStr">
        <is>
          <t>VÄRMLANDS LÄN</t>
        </is>
      </c>
      <c r="G179" t="inlineStr">
        <is>
          <t>KIL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46224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46224</v>
      </c>
      <c r="F181" t="inlineStr">
        <is>
          <t>VÄRMLANDS LÄN</t>
        </is>
      </c>
      <c r="G181" t="inlineStr">
        <is>
          <t>KIL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45694</v>
      </c>
      <c r="E182" s="1" t="n">
        <v>46224</v>
      </c>
      <c r="F182" t="inlineStr">
        <is>
          <t>VÄRMLANDS LÄN</t>
        </is>
      </c>
      <c r="G182" t="inlineStr">
        <is>
          <t>KIL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46224</v>
      </c>
      <c r="F183" t="inlineStr">
        <is>
          <t>VÄRMLANDS LÄN</t>
        </is>
      </c>
      <c r="G183" t="inlineStr">
        <is>
          <t>KIL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45378</v>
      </c>
      <c r="E184" s="1" t="n">
        <v>46224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45671</v>
      </c>
      <c r="E185" s="1" t="n">
        <v>46224</v>
      </c>
      <c r="F185" t="inlineStr">
        <is>
          <t>VÄRMLANDS LÄN</t>
        </is>
      </c>
      <c r="G185" t="inlineStr">
        <is>
          <t>KIL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46224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46224</v>
      </c>
      <c r="F187" t="inlineStr">
        <is>
          <t>VÄRMLANDS LÄN</t>
        </is>
      </c>
      <c r="G187" t="inlineStr">
        <is>
          <t>KIL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46224</v>
      </c>
      <c r="F188" t="inlineStr">
        <is>
          <t>VÄRMLANDS LÄN</t>
        </is>
      </c>
      <c r="G188" t="inlineStr">
        <is>
          <t>KIL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46224</v>
      </c>
      <c r="F189" t="inlineStr">
        <is>
          <t>VÄRMLANDS LÄN</t>
        </is>
      </c>
      <c r="G189" t="inlineStr">
        <is>
          <t>KIL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46224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46224</v>
      </c>
      <c r="F191" t="inlineStr">
        <is>
          <t>VÄRMLANDS LÄN</t>
        </is>
      </c>
      <c r="G191" t="inlineStr">
        <is>
          <t>KIL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46224</v>
      </c>
      <c r="F192" t="inlineStr">
        <is>
          <t>VÄRMLANDS LÄN</t>
        </is>
      </c>
      <c r="G192" t="inlineStr">
        <is>
          <t>KIL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46224</v>
      </c>
      <c r="F193" t="inlineStr">
        <is>
          <t>VÄRMLANDS LÄN</t>
        </is>
      </c>
      <c r="G193" t="inlineStr">
        <is>
          <t>KIL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45287</v>
      </c>
      <c r="E194" s="1" t="n">
        <v>46224</v>
      </c>
      <c r="F194" t="inlineStr">
        <is>
          <t>VÄRMLANDS LÄN</t>
        </is>
      </c>
      <c r="G194" t="inlineStr">
        <is>
          <t>KIL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44927</v>
      </c>
      <c r="E195" s="1" t="n">
        <v>46224</v>
      </c>
      <c r="F195" t="inlineStr">
        <is>
          <t>VÄRMLANDS LÄN</t>
        </is>
      </c>
      <c r="G195" t="inlineStr">
        <is>
          <t>KIL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46224</v>
      </c>
      <c r="F196" t="inlineStr">
        <is>
          <t>VÄRMLANDS LÄN</t>
        </is>
      </c>
      <c r="G196" t="inlineStr">
        <is>
          <t>KIL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46224</v>
      </c>
      <c r="F197" t="inlineStr">
        <is>
          <t>VÄRMLANDS LÄN</t>
        </is>
      </c>
      <c r="G197" t="inlineStr">
        <is>
          <t>KIL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46224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46224</v>
      </c>
      <c r="F199" t="inlineStr">
        <is>
          <t>VÄRMLANDS LÄN</t>
        </is>
      </c>
      <c r="G199" t="inlineStr">
        <is>
          <t>KIL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46224</v>
      </c>
      <c r="F200" t="inlineStr">
        <is>
          <t>VÄRMLANDS LÄN</t>
        </is>
      </c>
      <c r="G200" t="inlineStr">
        <is>
          <t>KIL</t>
        </is>
      </c>
      <c r="H200" t="inlineStr">
        <is>
          <t>Kyrkan</t>
        </is>
      </c>
      <c r="I200" t="n">
        <v>24.9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44511</v>
      </c>
      <c r="E201" s="1" t="n">
        <v>46224</v>
      </c>
      <c r="F201" t="inlineStr">
        <is>
          <t>VÄRMLANDS LÄN</t>
        </is>
      </c>
      <c r="G201" t="inlineStr">
        <is>
          <t>KIL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46224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46224</v>
      </c>
      <c r="F203" t="inlineStr">
        <is>
          <t>VÄRMLANDS LÄN</t>
        </is>
      </c>
      <c r="G203" t="inlineStr">
        <is>
          <t>KIL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46224</v>
      </c>
      <c r="F204" t="inlineStr">
        <is>
          <t>VÄRMLANDS LÄN</t>
        </is>
      </c>
      <c r="G204" t="inlineStr">
        <is>
          <t>KIL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46224</v>
      </c>
      <c r="F205" t="inlineStr">
        <is>
          <t>VÄRMLANDS LÄN</t>
        </is>
      </c>
      <c r="G205" t="inlineStr">
        <is>
          <t>KIL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46224</v>
      </c>
      <c r="F206" t="inlineStr">
        <is>
          <t>VÄRMLANDS LÄN</t>
        </is>
      </c>
      <c r="G206" t="inlineStr">
        <is>
          <t>KIL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46224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46224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46224</v>
      </c>
      <c r="F209" t="inlineStr">
        <is>
          <t>VÄRMLANDS LÄN</t>
        </is>
      </c>
      <c r="G209" t="inlineStr">
        <is>
          <t>KIL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46224</v>
      </c>
      <c r="F210" t="inlineStr">
        <is>
          <t>VÄRMLANDS LÄN</t>
        </is>
      </c>
      <c r="G210" t="inlineStr">
        <is>
          <t>KIL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46224</v>
      </c>
      <c r="F211" t="inlineStr">
        <is>
          <t>VÄRMLANDS LÄN</t>
        </is>
      </c>
      <c r="G211" t="inlineStr">
        <is>
          <t>KIL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46224</v>
      </c>
      <c r="F212" t="inlineStr">
        <is>
          <t>VÄRMLANDS LÄN</t>
        </is>
      </c>
      <c r="G212" t="inlineStr">
        <is>
          <t>KIL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46224</v>
      </c>
      <c r="F213" t="inlineStr">
        <is>
          <t>VÄRMLANDS LÄN</t>
        </is>
      </c>
      <c r="G213" t="inlineStr">
        <is>
          <t>KIL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46224</v>
      </c>
      <c r="F214" t="inlineStr">
        <is>
          <t>VÄRMLANDS LÄN</t>
        </is>
      </c>
      <c r="G214" t="inlineStr">
        <is>
          <t>KIL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46224</v>
      </c>
      <c r="F215" t="inlineStr">
        <is>
          <t>VÄRMLANDS LÄN</t>
        </is>
      </c>
      <c r="G215" t="inlineStr">
        <is>
          <t>KIL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46224</v>
      </c>
      <c r="F216" t="inlineStr">
        <is>
          <t>VÄRMLANDS LÄN</t>
        </is>
      </c>
      <c r="G216" t="inlineStr">
        <is>
          <t>KIL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44587</v>
      </c>
      <c r="E217" s="1" t="n">
        <v>46224</v>
      </c>
      <c r="F217" t="inlineStr">
        <is>
          <t>VÄRMLANDS LÄN</t>
        </is>
      </c>
      <c r="G217" t="inlineStr">
        <is>
          <t>KIL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46224</v>
      </c>
      <c r="F218" t="inlineStr">
        <is>
          <t>VÄRMLANDS LÄN</t>
        </is>
      </c>
      <c r="G218" t="inlineStr">
        <is>
          <t>KIL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46224</v>
      </c>
      <c r="F219" t="inlineStr">
        <is>
          <t>VÄRMLANDS LÄN</t>
        </is>
      </c>
      <c r="G219" t="inlineStr">
        <is>
          <t>KIL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46224</v>
      </c>
      <c r="F220" t="inlineStr">
        <is>
          <t>VÄRMLANDS LÄN</t>
        </is>
      </c>
      <c r="G220" t="inlineStr">
        <is>
          <t>KIL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46224</v>
      </c>
      <c r="F221" t="inlineStr">
        <is>
          <t>VÄRMLANDS LÄN</t>
        </is>
      </c>
      <c r="G221" t="inlineStr">
        <is>
          <t>KIL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29698-2024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45484</v>
      </c>
      <c r="E222" s="1" t="n">
        <v>46224</v>
      </c>
      <c r="F222" t="inlineStr">
        <is>
          <t>VÄRMLANDS LÄN</t>
        </is>
      </c>
      <c r="G222" t="inlineStr">
        <is>
          <t>KIL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27638-2026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46190</v>
      </c>
      <c r="E223" s="1" t="n">
        <v>46224</v>
      </c>
      <c r="F223" t="inlineStr">
        <is>
          <t>VÄRMLANDS LÄN</t>
        </is>
      </c>
      <c r="G223" t="inlineStr">
        <is>
          <t>KIL</t>
        </is>
      </c>
      <c r="H223" t="inlineStr">
        <is>
          <t>Kyrkan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46224</v>
      </c>
      <c r="F224" t="inlineStr">
        <is>
          <t>VÄRMLANDS LÄN</t>
        </is>
      </c>
      <c r="G224" t="inlineStr">
        <is>
          <t>KIL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42522-2021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44427</v>
      </c>
      <c r="E225" s="1" t="n">
        <v>46224</v>
      </c>
      <c r="F225" t="inlineStr">
        <is>
          <t>VÄRMLANDS LÄN</t>
        </is>
      </c>
      <c r="G225" t="inlineStr">
        <is>
          <t>KIL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46224</v>
      </c>
      <c r="F226" t="inlineStr">
        <is>
          <t>VÄRMLANDS LÄN</t>
        </is>
      </c>
      <c r="G226" t="inlineStr">
        <is>
          <t>KIL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46224</v>
      </c>
      <c r="F227" t="inlineStr">
        <is>
          <t>VÄRMLANDS LÄN</t>
        </is>
      </c>
      <c r="G227" t="inlineStr">
        <is>
          <t>KIL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46224</v>
      </c>
      <c r="F228" t="inlineStr">
        <is>
          <t>VÄRMLANDS LÄN</t>
        </is>
      </c>
      <c r="G228" t="inlineStr">
        <is>
          <t>KIL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46224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46224</v>
      </c>
      <c r="F230" t="inlineStr">
        <is>
          <t>VÄRMLANDS LÄN</t>
        </is>
      </c>
      <c r="G230" t="inlineStr">
        <is>
          <t>KIL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46224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46224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46224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46224</v>
      </c>
      <c r="F234" t="inlineStr">
        <is>
          <t>VÄRMLANDS LÄN</t>
        </is>
      </c>
      <c r="G234" t="inlineStr">
        <is>
          <t>KIL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46224</v>
      </c>
      <c r="F235" t="inlineStr">
        <is>
          <t>VÄRMLANDS LÄN</t>
        </is>
      </c>
      <c r="G235" t="inlineStr">
        <is>
          <t>KIL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46224</v>
      </c>
      <c r="F236" t="inlineStr">
        <is>
          <t>VÄRMLANDS LÄN</t>
        </is>
      </c>
      <c r="G236" t="inlineStr">
        <is>
          <t>KIL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46224</v>
      </c>
      <c r="F237" t="inlineStr">
        <is>
          <t>VÄRMLANDS LÄN</t>
        </is>
      </c>
      <c r="G237" t="inlineStr">
        <is>
          <t>KIL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45367</v>
      </c>
      <c r="E238" s="1" t="n">
        <v>46224</v>
      </c>
      <c r="F238" t="inlineStr">
        <is>
          <t>VÄRMLANDS LÄN</t>
        </is>
      </c>
      <c r="G238" t="inlineStr">
        <is>
          <t>KIL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44792</v>
      </c>
      <c r="E239" s="1" t="n">
        <v>46224</v>
      </c>
      <c r="F239" t="inlineStr">
        <is>
          <t>VÄRMLANDS LÄN</t>
        </is>
      </c>
      <c r="G239" t="inlineStr">
        <is>
          <t>KIL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46224</v>
      </c>
      <c r="F240" t="inlineStr">
        <is>
          <t>VÄRMLANDS LÄN</t>
        </is>
      </c>
      <c r="G240" t="inlineStr">
        <is>
          <t>KIL</t>
        </is>
      </c>
      <c r="H240" t="inlineStr">
        <is>
          <t>Bergvik skog väst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72073-2021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46224</v>
      </c>
      <c r="F241" t="inlineStr">
        <is>
          <t>VÄRMLANDS LÄN</t>
        </is>
      </c>
      <c r="G241" t="inlineStr">
        <is>
          <t>KIL</t>
        </is>
      </c>
      <c r="I241" t="n">
        <v>9.6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45030</v>
      </c>
      <c r="E242" s="1" t="n">
        <v>46224</v>
      </c>
      <c r="F242" t="inlineStr">
        <is>
          <t>VÄRMLANDS LÄN</t>
        </is>
      </c>
      <c r="G242" t="inlineStr">
        <is>
          <t>KIL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23327-2026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46162</v>
      </c>
      <c r="E243" s="1" t="n">
        <v>46224</v>
      </c>
      <c r="F243" t="inlineStr">
        <is>
          <t>VÄRMLANDS LÄN</t>
        </is>
      </c>
      <c r="G243" t="inlineStr">
        <is>
          <t>KIL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46224</v>
      </c>
      <c r="F244" t="inlineStr">
        <is>
          <t>VÄRMLANDS LÄN</t>
        </is>
      </c>
      <c r="G244" t="inlineStr">
        <is>
          <t>KIL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45463</v>
      </c>
      <c r="E245" s="1" t="n">
        <v>46224</v>
      </c>
      <c r="F245" t="inlineStr">
        <is>
          <t>VÄRMLANDS LÄN</t>
        </is>
      </c>
      <c r="G245" t="inlineStr">
        <is>
          <t>KIL</t>
        </is>
      </c>
      <c r="H245" t="inlineStr">
        <is>
          <t>Kyrkan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46224</v>
      </c>
      <c r="F246" t="inlineStr">
        <is>
          <t>VÄRMLANDS LÄN</t>
        </is>
      </c>
      <c r="G246" t="inlineStr">
        <is>
          <t>KIL</t>
        </is>
      </c>
      <c r="H246" t="inlineStr">
        <is>
          <t>Kyrkan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45704</v>
      </c>
      <c r="E247" s="1" t="n">
        <v>46224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45392</v>
      </c>
      <c r="E248" s="1" t="n">
        <v>46224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14732-2022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46224</v>
      </c>
      <c r="F249" t="inlineStr">
        <is>
          <t>VÄRMLANDS LÄN</t>
        </is>
      </c>
      <c r="G249" t="inlineStr">
        <is>
          <t>KIL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45367</v>
      </c>
      <c r="E250" s="1" t="n">
        <v>46224</v>
      </c>
      <c r="F250" t="inlineStr">
        <is>
          <t>VÄRMLANDS LÄN</t>
        </is>
      </c>
      <c r="G250" t="inlineStr">
        <is>
          <t>KIL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46224</v>
      </c>
      <c r="F251" t="inlineStr">
        <is>
          <t>VÄRMLANDS LÄN</t>
        </is>
      </c>
      <c r="G251" t="inlineStr">
        <is>
          <t>KIL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46224</v>
      </c>
      <c r="F252" t="inlineStr">
        <is>
          <t>VÄRMLANDS LÄN</t>
        </is>
      </c>
      <c r="G252" t="inlineStr">
        <is>
          <t>KIL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46224</v>
      </c>
      <c r="F253" t="inlineStr">
        <is>
          <t>VÄRMLANDS LÄN</t>
        </is>
      </c>
      <c r="G253" t="inlineStr">
        <is>
          <t>KIL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45397</v>
      </c>
      <c r="E254" s="1" t="n">
        <v>46224</v>
      </c>
      <c r="F254" t="inlineStr">
        <is>
          <t>VÄRMLANDS LÄN</t>
        </is>
      </c>
      <c r="G254" t="inlineStr">
        <is>
          <t>KIL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44803</v>
      </c>
      <c r="E255" s="1" t="n">
        <v>46224</v>
      </c>
      <c r="F255" t="inlineStr">
        <is>
          <t>VÄRMLANDS LÄN</t>
        </is>
      </c>
      <c r="G255" t="inlineStr">
        <is>
          <t>KIL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46224</v>
      </c>
      <c r="F256" t="inlineStr">
        <is>
          <t>VÄRMLANDS LÄN</t>
        </is>
      </c>
      <c r="G256" t="inlineStr">
        <is>
          <t>KIL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45713</v>
      </c>
      <c r="E257" s="1" t="n">
        <v>46224</v>
      </c>
      <c r="F257" t="inlineStr">
        <is>
          <t>VÄRMLANDS LÄN</t>
        </is>
      </c>
      <c r="G257" t="inlineStr">
        <is>
          <t>KIL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45436</v>
      </c>
      <c r="E258" s="1" t="n">
        <v>46224</v>
      </c>
      <c r="F258" t="inlineStr">
        <is>
          <t>VÄRMLANDS LÄN</t>
        </is>
      </c>
      <c r="G258" t="inlineStr">
        <is>
          <t>KIL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46224</v>
      </c>
      <c r="F259" t="inlineStr">
        <is>
          <t>VÄRMLANDS LÄN</t>
        </is>
      </c>
      <c r="G259" t="inlineStr">
        <is>
          <t>KIL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46224</v>
      </c>
      <c r="F260" t="inlineStr">
        <is>
          <t>VÄRMLANDS LÄN</t>
        </is>
      </c>
      <c r="G260" t="inlineStr">
        <is>
          <t>KIL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46224</v>
      </c>
      <c r="F261" t="inlineStr">
        <is>
          <t>VÄRMLANDS LÄN</t>
        </is>
      </c>
      <c r="G261" t="inlineStr">
        <is>
          <t>KIL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44775</v>
      </c>
      <c r="E262" s="1" t="n">
        <v>46224</v>
      </c>
      <c r="F262" t="inlineStr">
        <is>
          <t>VÄRMLANDS LÄN</t>
        </is>
      </c>
      <c r="G262" t="inlineStr">
        <is>
          <t>KIL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45207</v>
      </c>
      <c r="E263" s="1" t="n">
        <v>46224</v>
      </c>
      <c r="F263" t="inlineStr">
        <is>
          <t>VÄRMLANDS LÄN</t>
        </is>
      </c>
      <c r="G263" t="inlineStr">
        <is>
          <t>KIL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44565</v>
      </c>
      <c r="E264" s="1" t="n">
        <v>46224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46224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46224</v>
      </c>
      <c r="F266" t="inlineStr">
        <is>
          <t>VÄRMLANDS LÄN</t>
        </is>
      </c>
      <c r="G266" t="inlineStr">
        <is>
          <t>KIL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45287</v>
      </c>
      <c r="E267" s="1" t="n">
        <v>46224</v>
      </c>
      <c r="F267" t="inlineStr">
        <is>
          <t>VÄRMLANDS LÄN</t>
        </is>
      </c>
      <c r="G267" t="inlineStr">
        <is>
          <t>KIL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46224</v>
      </c>
      <c r="F268" t="inlineStr">
        <is>
          <t>VÄRMLANDS LÄN</t>
        </is>
      </c>
      <c r="G268" t="inlineStr">
        <is>
          <t>KIL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45629</v>
      </c>
      <c r="E269" s="1" t="n">
        <v>46224</v>
      </c>
      <c r="F269" t="inlineStr">
        <is>
          <t>VÄRMLANDS LÄN</t>
        </is>
      </c>
      <c r="G269" t="inlineStr">
        <is>
          <t>KIL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46224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46224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46224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46224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46224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46224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46224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46224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46224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2026-07-21T01:37:40Z</dcterms:created>
  <dcterms:modified xmlns:dcterms="http://purl.org/dc/terms/" xmlns:xsi="http://www.w3.org/2001/XMLSchema-instance" xsi:type="dcterms:W3CDTF">2026-07-21T01:37:40Z</dcterms:modified>
</cp:coreProperties>
</file>