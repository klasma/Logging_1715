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46283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46283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46283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46283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46283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46283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46283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23794-2023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46283</v>
      </c>
      <c r="F11" t="inlineStr">
        <is>
          <t>VÄRMLANDS LÄN</t>
        </is>
      </c>
      <c r="G11" t="inlineStr">
        <is>
          <t>KIL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23794-2023 artfynd.xlsx", "A 23794-2023")</f>
        <v/>
      </c>
      <c r="X11">
        <f>HYPERLINK("https://klasma.github.io/Logging_1715/kartor/A 23794-2023 karta.png", "A 23794-2023")</f>
        <v/>
      </c>
      <c r="Y11">
        <f>HYPERLINK("https://klasma.github.io/Logging_1715/kartor_geotiff/A 23794-2023 georefererad karta.tif", "A 23794-2023")</f>
        <v/>
      </c>
      <c r="AA11">
        <f>HYPERLINK("https://klasma.github.io/Logging_1715/klagomål/A 23794-2023 FSC-klagomål.docx", "A 23794-2023")</f>
        <v/>
      </c>
      <c r="AB11">
        <f>HYPERLINK("https://klasma.github.io/Logging_1715/klagomålsmail/A 23794-2023 FSC-klagomål mail.docx", "A 23794-2023")</f>
        <v/>
      </c>
      <c r="AC11">
        <f>HYPERLINK("https://klasma.github.io/Logging_1715/tillsyn/A 23794-2023 tillsynsbegäran.docx", "A 23794-2023")</f>
        <v/>
      </c>
      <c r="AD11">
        <f>HYPERLINK("https://klasma.github.io/Logging_1715/tillsynsmail/A 23794-2023 tillsynsbegäran mail.docx", "A 23794-2023")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46283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46283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46283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40853-2024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45558</v>
      </c>
      <c r="E15" s="1" t="n">
        <v>46283</v>
      </c>
      <c r="F15" t="inlineStr">
        <is>
          <t>VÄRMLANDS LÄN</t>
        </is>
      </c>
      <c r="G15" t="inlineStr">
        <is>
          <t>KIL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40853-2024 artfynd.xlsx", "A 40853-2024")</f>
        <v/>
      </c>
      <c r="X15">
        <f>HYPERLINK("https://klasma.github.io/Logging_1715/kartor/A 40853-2024 karta.png", "A 40853-2024")</f>
        <v/>
      </c>
      <c r="Y15">
        <f>HYPERLINK("https://klasma.github.io/Logging_1715/kartor_geotiff/A 40853-2024 georefererad karta.tif", "A 40853-2024")</f>
        <v/>
      </c>
      <c r="AA15">
        <f>HYPERLINK("https://klasma.github.io/Logging_1715/klagomål/A 40853-2024 FSC-klagomål.docx", "A 40853-2024")</f>
        <v/>
      </c>
      <c r="AB15">
        <f>HYPERLINK("https://klasma.github.io/Logging_1715/klagomålsmail/A 40853-2024 FSC-klagomål mail.docx", "A 40853-2024")</f>
        <v/>
      </c>
      <c r="AC15">
        <f>HYPERLINK("https://klasma.github.io/Logging_1715/tillsyn/A 40853-2024 tillsynsbegäran.docx", "A 40853-2024")</f>
        <v/>
      </c>
      <c r="AD15">
        <f>HYPERLINK("https://klasma.github.io/Logging_1715/tillsynsmail/A 40853-2024 tillsynsbegäran mail.docx", "A 40853-2024")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46283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46283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46283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38039-2024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45544</v>
      </c>
      <c r="E19" s="1" t="n">
        <v>46283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Vedticka</t>
        </is>
      </c>
      <c r="W19">
        <f>HYPERLINK("https://klasma.github.io/Logging_1715/artfynd/A 38039-2024 artfynd.xlsx", "A 38039-2024")</f>
        <v/>
      </c>
      <c r="X19">
        <f>HYPERLINK("https://klasma.github.io/Logging_1715/kartor/A 38039-2024 karta.png", "A 38039-2024")</f>
        <v/>
      </c>
      <c r="Y19">
        <f>HYPERLINK("https://klasma.github.io/Logging_1715/kartor_geotiff/A 38039-2024 georefererad karta.tif", "A 38039-2024")</f>
        <v/>
      </c>
      <c r="AA19">
        <f>HYPERLINK("https://klasma.github.io/Logging_1715/klagomål/A 38039-2024 FSC-klagomål.docx", "A 38039-2024")</f>
        <v/>
      </c>
      <c r="AB19">
        <f>HYPERLINK("https://klasma.github.io/Logging_1715/klagomålsmail/A 38039-2024 FSC-klagomål mail.docx", "A 38039-2024")</f>
        <v/>
      </c>
      <c r="AC19">
        <f>HYPERLINK("https://klasma.github.io/Logging_1715/tillsyn/A 38039-2024 tillsynsbegäran.docx", "A 38039-2024")</f>
        <v/>
      </c>
      <c r="AD19">
        <f>HYPERLINK("https://klasma.github.io/Logging_1715/tillsynsmail/A 38039-2024 tillsynsbegäran mail.docx", "A 38039-2024")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46283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46283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46283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46283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46283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46283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46283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46283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46283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46283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44482</v>
      </c>
      <c r="E30" s="1" t="n">
        <v>46283</v>
      </c>
      <c r="F30" t="inlineStr">
        <is>
          <t>VÄRMLANDS LÄN</t>
        </is>
      </c>
      <c r="G30" t="inlineStr">
        <is>
          <t>KIL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46283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46283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46283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46283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46283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46283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46283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46283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46283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46283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44483</v>
      </c>
      <c r="E41" s="1" t="n">
        <v>46283</v>
      </c>
      <c r="F41" t="inlineStr">
        <is>
          <t>VÄRMLANDS LÄN</t>
        </is>
      </c>
      <c r="G41" t="inlineStr">
        <is>
          <t>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46283</v>
      </c>
      <c r="F42" t="inlineStr">
        <is>
          <t>VÄRMLANDS LÄN</t>
        </is>
      </c>
      <c r="G42" t="inlineStr">
        <is>
          <t>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46283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46283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46283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46283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46283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46283</v>
      </c>
      <c r="F48" t="inlineStr">
        <is>
          <t>VÄRMLANDS LÄN</t>
        </is>
      </c>
      <c r="G48" t="inlineStr">
        <is>
          <t>KIL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46283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46283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46283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46283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46283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44589</v>
      </c>
      <c r="E54" s="1" t="n">
        <v>46283</v>
      </c>
      <c r="F54" t="inlineStr">
        <is>
          <t>VÄRMLANDS LÄN</t>
        </is>
      </c>
      <c r="G54" t="inlineStr">
        <is>
          <t>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46283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52526-2021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46283</v>
      </c>
      <c r="F56" t="inlineStr">
        <is>
          <t>VÄRMLANDS LÄN</t>
        </is>
      </c>
      <c r="G56" t="inlineStr">
        <is>
          <t>KIL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37962-2022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44811</v>
      </c>
      <c r="E57" s="1" t="n">
        <v>46283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46283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46283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46283</v>
      </c>
      <c r="F60" t="inlineStr">
        <is>
          <t>VÄRMLANDS LÄN</t>
        </is>
      </c>
      <c r="G60" t="inlineStr">
        <is>
          <t>KIL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45271</v>
      </c>
      <c r="E61" s="1" t="n">
        <v>46283</v>
      </c>
      <c r="F61" t="inlineStr">
        <is>
          <t>VÄRMLANDS LÄN</t>
        </is>
      </c>
      <c r="G61" t="inlineStr">
        <is>
          <t>KIL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14675-2024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45397</v>
      </c>
      <c r="E62" s="1" t="n">
        <v>46283</v>
      </c>
      <c r="F62" t="inlineStr">
        <is>
          <t>VÄRMLANDS LÄN</t>
        </is>
      </c>
      <c r="G62" t="inlineStr">
        <is>
          <t>KIL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46283</v>
      </c>
      <c r="F63" t="inlineStr">
        <is>
          <t>VÄRMLANDS LÄN</t>
        </is>
      </c>
      <c r="G63" t="inlineStr">
        <is>
          <t>KIL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46283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46283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45252</v>
      </c>
      <c r="E66" s="1" t="n">
        <v>46283</v>
      </c>
      <c r="F66" t="inlineStr">
        <is>
          <t>VÄRMLANDS LÄN</t>
        </is>
      </c>
      <c r="G66" t="inlineStr">
        <is>
          <t>KIL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  <c r="Z66">
        <f>HYPERLINK("https://klasma.github.io/Logging_1715/knärot/A 59064-2023 karta knärot.png", "A 59064-2023")</f>
        <v/>
      </c>
      <c r="AA66">
        <f>HYPERLINK("https://klasma.github.io/Logging_1715/klagomål/A 59064-2023 FSC-klagomål.docx", "A 59064-2023")</f>
        <v/>
      </c>
      <c r="AB66">
        <f>HYPERLINK("https://klasma.github.io/Logging_1715/klagomålsmail/A 59064-2023 FSC-klagomål mail.docx", "A 59064-2023")</f>
        <v/>
      </c>
      <c r="AC66">
        <f>HYPERLINK("https://klasma.github.io/Logging_1715/tillsyn/A 59064-2023 tillsynsbegäran.docx", "A 59064-2023")</f>
        <v/>
      </c>
      <c r="AD66">
        <f>HYPERLINK("https://klasma.github.io/Logging_1715/tillsynsmail/A 59064-2023 tillsynsbegäran mail.docx", "A 59064-2023")</f>
        <v/>
      </c>
    </row>
    <row r="67" ht="15" customHeight="1">
      <c r="A67" t="inlineStr">
        <is>
          <t>A 12652-2024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46283</v>
      </c>
      <c r="F67" t="inlineStr">
        <is>
          <t>VÄRMLANDS LÄN</t>
        </is>
      </c>
      <c r="G67" t="inlineStr">
        <is>
          <t>KIL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46283</v>
      </c>
      <c r="F68" t="inlineStr">
        <is>
          <t>VÄRMLANDS LÄN</t>
        </is>
      </c>
      <c r="G68" t="inlineStr">
        <is>
          <t>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46283</v>
      </c>
      <c r="F69" t="inlineStr">
        <is>
          <t>VÄRMLANDS LÄN</t>
        </is>
      </c>
      <c r="G69" t="inlineStr">
        <is>
          <t>KIL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46283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46283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44927</v>
      </c>
      <c r="E72" s="1" t="n">
        <v>46283</v>
      </c>
      <c r="F72" t="inlineStr">
        <is>
          <t>VÄRMLANDS LÄN</t>
        </is>
      </c>
      <c r="G72" t="inlineStr">
        <is>
          <t>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45287</v>
      </c>
      <c r="E73" s="1" t="n">
        <v>46283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45367</v>
      </c>
      <c r="E74" s="1" t="n">
        <v>46283</v>
      </c>
      <c r="F74" t="inlineStr">
        <is>
          <t>VÄRMLANDS LÄN</t>
        </is>
      </c>
      <c r="G74" t="inlineStr">
        <is>
          <t>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46283</v>
      </c>
      <c r="F75" t="inlineStr">
        <is>
          <t>VÄRMLANDS LÄN</t>
        </is>
      </c>
      <c r="G75" t="inlineStr">
        <is>
          <t>KIL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46283</v>
      </c>
      <c r="F76" t="inlineStr">
        <is>
          <t>VÄRMLANDS LÄN</t>
        </is>
      </c>
      <c r="G76" t="inlineStr">
        <is>
          <t>KIL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46283</v>
      </c>
      <c r="F77" t="inlineStr">
        <is>
          <t>VÄRMLANDS LÄN</t>
        </is>
      </c>
      <c r="G77" t="inlineStr">
        <is>
          <t>KIL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57967-2021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46283</v>
      </c>
      <c r="F78" t="inlineStr">
        <is>
          <t>VÄRMLANDS LÄN</t>
        </is>
      </c>
      <c r="G78" t="inlineStr">
        <is>
          <t>KIL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46283</v>
      </c>
      <c r="F79" t="inlineStr">
        <is>
          <t>VÄRMLANDS LÄN</t>
        </is>
      </c>
      <c r="G79" t="inlineStr">
        <is>
          <t>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46283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46283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44587</v>
      </c>
      <c r="E82" s="1" t="n">
        <v>46283</v>
      </c>
      <c r="F82" t="inlineStr">
        <is>
          <t>VÄRMLANDS LÄN</t>
        </is>
      </c>
      <c r="G82" t="inlineStr">
        <is>
          <t>KIL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46283</v>
      </c>
      <c r="F83" t="inlineStr">
        <is>
          <t>VÄRMLANDS LÄN</t>
        </is>
      </c>
      <c r="G83" t="inlineStr">
        <is>
          <t>KIL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46283</v>
      </c>
      <c r="F84" t="inlineStr">
        <is>
          <t>VÄRMLANDS LÄN</t>
        </is>
      </c>
      <c r="G84" t="inlineStr">
        <is>
          <t>KIL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46283</v>
      </c>
      <c r="F85" t="inlineStr">
        <is>
          <t>VÄRMLANDS LÄN</t>
        </is>
      </c>
      <c r="G85" t="inlineStr">
        <is>
          <t>KIL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46283</v>
      </c>
      <c r="F86" t="inlineStr">
        <is>
          <t>VÄRMLANDS LÄN</t>
        </is>
      </c>
      <c r="G86" t="inlineStr">
        <is>
          <t>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37620-2024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46283</v>
      </c>
      <c r="F87" t="inlineStr">
        <is>
          <t>VÄRMLANDS LÄN</t>
        </is>
      </c>
      <c r="G87" t="inlineStr">
        <is>
          <t>KIL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45404</v>
      </c>
      <c r="E88" s="1" t="n">
        <v>46283</v>
      </c>
      <c r="F88" t="inlineStr">
        <is>
          <t>VÄRMLANDS LÄN</t>
        </is>
      </c>
      <c r="G88" t="inlineStr">
        <is>
          <t>KIL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46283</v>
      </c>
      <c r="F89" t="inlineStr">
        <is>
          <t>VÄRMLANDS LÄN</t>
        </is>
      </c>
      <c r="G89" t="inlineStr">
        <is>
          <t>KIL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45367</v>
      </c>
      <c r="E90" s="1" t="n">
        <v>46283</v>
      </c>
      <c r="F90" t="inlineStr">
        <is>
          <t>VÄRMLANDS LÄN</t>
        </is>
      </c>
      <c r="G90" t="inlineStr">
        <is>
          <t>KIL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46283</v>
      </c>
      <c r="F91" t="inlineStr">
        <is>
          <t>VÄRMLANDS LÄN</t>
        </is>
      </c>
      <c r="G91" t="inlineStr">
        <is>
          <t>KIL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46283</v>
      </c>
      <c r="F92" t="inlineStr">
        <is>
          <t>VÄRMLANDS LÄN</t>
        </is>
      </c>
      <c r="G92" t="inlineStr">
        <is>
          <t>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45378</v>
      </c>
      <c r="E93" s="1" t="n">
        <v>46283</v>
      </c>
      <c r="F93" t="inlineStr">
        <is>
          <t>VÄRMLANDS LÄN</t>
        </is>
      </c>
      <c r="G93" t="inlineStr">
        <is>
          <t>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12281-2024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46283</v>
      </c>
      <c r="F94" t="inlineStr">
        <is>
          <t>VÄRMLANDS LÄN</t>
        </is>
      </c>
      <c r="G94" t="inlineStr">
        <is>
          <t>KIL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46283</v>
      </c>
      <c r="F95" t="inlineStr">
        <is>
          <t>VÄRMLANDS LÄN</t>
        </is>
      </c>
      <c r="G95" t="inlineStr">
        <is>
          <t>KIL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45839</v>
      </c>
      <c r="E96" s="1" t="n">
        <v>46283</v>
      </c>
      <c r="F96" t="inlineStr">
        <is>
          <t>VÄRMLANDS LÄN</t>
        </is>
      </c>
      <c r="G96" t="inlineStr">
        <is>
          <t>KIL</t>
        </is>
      </c>
      <c r="H96" t="inlineStr">
        <is>
          <t>Kyrkan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45838</v>
      </c>
      <c r="E97" s="1" t="n">
        <v>46283</v>
      </c>
      <c r="F97" t="inlineStr">
        <is>
          <t>VÄRMLANDS LÄN</t>
        </is>
      </c>
      <c r="G97" t="inlineStr">
        <is>
          <t>KIL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46283</v>
      </c>
      <c r="F98" t="inlineStr">
        <is>
          <t>VÄRMLANDS LÄN</t>
        </is>
      </c>
      <c r="G98" t="inlineStr">
        <is>
          <t>KIL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46283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46283</v>
      </c>
      <c r="F100" t="inlineStr">
        <is>
          <t>VÄRMLANDS LÄN</t>
        </is>
      </c>
      <c r="G100" t="inlineStr">
        <is>
          <t>KIL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46283</v>
      </c>
      <c r="F101" t="inlineStr">
        <is>
          <t>VÄRMLANDS LÄN</t>
        </is>
      </c>
      <c r="G101" t="inlineStr">
        <is>
          <t>KIL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46283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44657</v>
      </c>
      <c r="E103" s="1" t="n">
        <v>46283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46283</v>
      </c>
      <c r="F104" t="inlineStr">
        <is>
          <t>VÄRMLANDS LÄN</t>
        </is>
      </c>
      <c r="G104" t="inlineStr">
        <is>
          <t>KIL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46283</v>
      </c>
      <c r="F105" t="inlineStr">
        <is>
          <t>VÄRMLANDS LÄN</t>
        </is>
      </c>
      <c r="G105" t="inlineStr">
        <is>
          <t>KIL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46112</v>
      </c>
      <c r="E106" s="1" t="n">
        <v>46283</v>
      </c>
      <c r="F106" t="inlineStr">
        <is>
          <t>VÄRMLANDS LÄN</t>
        </is>
      </c>
      <c r="G106" t="inlineStr">
        <is>
          <t>KIL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46283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46283</v>
      </c>
      <c r="F108" t="inlineStr">
        <is>
          <t>VÄRMLANDS LÄN</t>
        </is>
      </c>
      <c r="G108" t="inlineStr">
        <is>
          <t>KIL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46283</v>
      </c>
      <c r="F109" t="inlineStr">
        <is>
          <t>VÄRMLANDS LÄN</t>
        </is>
      </c>
      <c r="G109" t="inlineStr">
        <is>
          <t>KIL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46283</v>
      </c>
      <c r="F110" t="inlineStr">
        <is>
          <t>VÄRMLANDS LÄN</t>
        </is>
      </c>
      <c r="G110" t="inlineStr">
        <is>
          <t>KIL</t>
        </is>
      </c>
      <c r="H110" t="inlineStr">
        <is>
          <t>Kyrkan</t>
        </is>
      </c>
      <c r="I110" t="n">
        <v>24.9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46283</v>
      </c>
      <c r="F111" t="inlineStr">
        <is>
          <t>VÄRMLANDS LÄN</t>
        </is>
      </c>
      <c r="G111" t="inlineStr">
        <is>
          <t>KIL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45041</v>
      </c>
      <c r="E112" s="1" t="n">
        <v>46283</v>
      </c>
      <c r="F112" t="inlineStr">
        <is>
          <t>VÄRMLANDS LÄN</t>
        </is>
      </c>
      <c r="G112" t="inlineStr">
        <is>
          <t>KIL</t>
        </is>
      </c>
      <c r="H112" t="inlineStr">
        <is>
          <t>Bergvik skog väst AB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46283</v>
      </c>
      <c r="F113" t="inlineStr">
        <is>
          <t>VÄRMLANDS LÄN</t>
        </is>
      </c>
      <c r="G113" t="inlineStr">
        <is>
          <t>KIL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46283</v>
      </c>
      <c r="F114" t="inlineStr">
        <is>
          <t>VÄRMLANDS LÄN</t>
        </is>
      </c>
      <c r="G114" t="inlineStr">
        <is>
          <t>KIL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45713</v>
      </c>
      <c r="E115" s="1" t="n">
        <v>46283</v>
      </c>
      <c r="F115" t="inlineStr">
        <is>
          <t>VÄRMLANDS LÄN</t>
        </is>
      </c>
      <c r="G115" t="inlineStr">
        <is>
          <t>KIL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46283</v>
      </c>
      <c r="F116" t="inlineStr">
        <is>
          <t>VÄRMLANDS LÄN</t>
        </is>
      </c>
      <c r="G116" t="inlineStr">
        <is>
          <t>KIL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72073-2021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46283</v>
      </c>
      <c r="F117" t="inlineStr">
        <is>
          <t>VÄRMLANDS LÄN</t>
        </is>
      </c>
      <c r="G117" t="inlineStr">
        <is>
          <t>KIL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46283</v>
      </c>
      <c r="F118" t="inlineStr">
        <is>
          <t>VÄRMLANDS LÄN</t>
        </is>
      </c>
      <c r="G118" t="inlineStr">
        <is>
          <t>KIL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46283</v>
      </c>
      <c r="F119" t="inlineStr">
        <is>
          <t>VÄRMLANDS LÄN</t>
        </is>
      </c>
      <c r="G119" t="inlineStr">
        <is>
          <t>KIL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46283</v>
      </c>
      <c r="F120" t="inlineStr">
        <is>
          <t>VÄRMLANDS LÄN</t>
        </is>
      </c>
      <c r="G120" t="inlineStr">
        <is>
          <t>KIL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45636</v>
      </c>
      <c r="E121" s="1" t="n">
        <v>46283</v>
      </c>
      <c r="F121" t="inlineStr">
        <is>
          <t>VÄRMLANDS LÄN</t>
        </is>
      </c>
      <c r="G121" t="inlineStr">
        <is>
          <t>KIL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44927</v>
      </c>
      <c r="E122" s="1" t="n">
        <v>46283</v>
      </c>
      <c r="F122" t="inlineStr">
        <is>
          <t>VÄRMLANDS LÄN</t>
        </is>
      </c>
      <c r="G122" t="inlineStr">
        <is>
          <t>KIL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44792</v>
      </c>
      <c r="E123" s="1" t="n">
        <v>46283</v>
      </c>
      <c r="F123" t="inlineStr">
        <is>
          <t>VÄRMLANDS LÄN</t>
        </is>
      </c>
      <c r="G123" t="inlineStr">
        <is>
          <t>KIL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46283</v>
      </c>
      <c r="F124" t="inlineStr">
        <is>
          <t>VÄRMLANDS LÄN</t>
        </is>
      </c>
      <c r="G124" t="inlineStr">
        <is>
          <t>KIL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46283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46283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46283</v>
      </c>
      <c r="F127" t="inlineStr">
        <is>
          <t>VÄRMLANDS LÄN</t>
        </is>
      </c>
      <c r="G127" t="inlineStr">
        <is>
          <t>KIL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20259-2026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46283</v>
      </c>
      <c r="F128" t="inlineStr">
        <is>
          <t>VÄRMLANDS LÄN</t>
        </is>
      </c>
      <c r="G128" t="inlineStr">
        <is>
          <t>KIL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46283</v>
      </c>
      <c r="F129" t="inlineStr">
        <is>
          <t>VÄRMLANDS LÄN</t>
        </is>
      </c>
      <c r="G129" t="inlineStr">
        <is>
          <t>KIL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46283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45797</v>
      </c>
      <c r="E131" s="1" t="n">
        <v>46283</v>
      </c>
      <c r="F131" t="inlineStr">
        <is>
          <t>VÄRMLANDS LÄN</t>
        </is>
      </c>
      <c r="G131" t="inlineStr">
        <is>
          <t>KIL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46283</v>
      </c>
      <c r="F132" t="inlineStr">
        <is>
          <t>VÄRMLANDS LÄN</t>
        </is>
      </c>
      <c r="G132" t="inlineStr">
        <is>
          <t>KIL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45519</v>
      </c>
      <c r="E133" s="1" t="n">
        <v>46283</v>
      </c>
      <c r="F133" t="inlineStr">
        <is>
          <t>VÄRMLANDS LÄN</t>
        </is>
      </c>
      <c r="G133" t="inlineStr">
        <is>
          <t>KIL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46283</v>
      </c>
      <c r="F134" t="inlineStr">
        <is>
          <t>VÄRMLANDS LÄN</t>
        </is>
      </c>
      <c r="G134" t="inlineStr">
        <is>
          <t>KIL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46283</v>
      </c>
      <c r="F135" t="inlineStr">
        <is>
          <t>VÄRMLANDS LÄN</t>
        </is>
      </c>
      <c r="G135" t="inlineStr">
        <is>
          <t>KIL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46283</v>
      </c>
      <c r="F136" t="inlineStr">
        <is>
          <t>VÄRMLANDS LÄN</t>
        </is>
      </c>
      <c r="G136" t="inlineStr">
        <is>
          <t>KIL</t>
        </is>
      </c>
      <c r="H136" t="inlineStr">
        <is>
          <t>Kyrkan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44874</v>
      </c>
      <c r="E137" s="1" t="n">
        <v>46283</v>
      </c>
      <c r="F137" t="inlineStr">
        <is>
          <t>VÄRMLANDS LÄN</t>
        </is>
      </c>
      <c r="G137" t="inlineStr">
        <is>
          <t>KIL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46283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46283</v>
      </c>
      <c r="F139" t="inlineStr">
        <is>
          <t>VÄRMLANDS LÄN</t>
        </is>
      </c>
      <c r="G139" t="inlineStr">
        <is>
          <t>KIL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46283</v>
      </c>
      <c r="F140" t="inlineStr">
        <is>
          <t>VÄRMLANDS LÄN</t>
        </is>
      </c>
      <c r="G140" t="inlineStr">
        <is>
          <t>KIL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46283</v>
      </c>
      <c r="F141" t="inlineStr">
        <is>
          <t>VÄRMLANDS LÄN</t>
        </is>
      </c>
      <c r="G141" t="inlineStr">
        <is>
          <t>KIL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46283</v>
      </c>
      <c r="F142" t="inlineStr">
        <is>
          <t>VÄRMLANDS LÄN</t>
        </is>
      </c>
      <c r="G142" t="inlineStr">
        <is>
          <t>KIL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46283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46283</v>
      </c>
      <c r="F144" t="inlineStr">
        <is>
          <t>VÄRMLANDS LÄN</t>
        </is>
      </c>
      <c r="G144" t="inlineStr">
        <is>
          <t>KIL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46283</v>
      </c>
      <c r="F145" t="inlineStr">
        <is>
          <t>VÄRMLANDS LÄN</t>
        </is>
      </c>
      <c r="G145" t="inlineStr">
        <is>
          <t>KIL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45934</v>
      </c>
      <c r="E146" s="1" t="n">
        <v>46283</v>
      </c>
      <c r="F146" t="inlineStr">
        <is>
          <t>VÄRMLANDS LÄN</t>
        </is>
      </c>
      <c r="G146" t="inlineStr">
        <is>
          <t>KIL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46283</v>
      </c>
      <c r="F147" t="inlineStr">
        <is>
          <t>VÄRMLANDS LÄN</t>
        </is>
      </c>
      <c r="G147" t="inlineStr">
        <is>
          <t>KIL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45037</v>
      </c>
      <c r="E148" s="1" t="n">
        <v>46283</v>
      </c>
      <c r="F148" t="inlineStr">
        <is>
          <t>VÄRMLANDS LÄN</t>
        </is>
      </c>
      <c r="G148" t="inlineStr">
        <is>
          <t>KIL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44754</v>
      </c>
      <c r="E149" s="1" t="n">
        <v>46283</v>
      </c>
      <c r="F149" t="inlineStr">
        <is>
          <t>VÄRMLANDS LÄN</t>
        </is>
      </c>
      <c r="G149" t="inlineStr">
        <is>
          <t>KIL</t>
        </is>
      </c>
      <c r="H149" t="inlineStr">
        <is>
          <t>Kyrkan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46283</v>
      </c>
      <c r="F150" t="inlineStr">
        <is>
          <t>VÄRMLANDS LÄN</t>
        </is>
      </c>
      <c r="G150" t="inlineStr">
        <is>
          <t>KIL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46283</v>
      </c>
      <c r="F151" t="inlineStr">
        <is>
          <t>VÄRMLANDS LÄN</t>
        </is>
      </c>
      <c r="G151" t="inlineStr">
        <is>
          <t>KIL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46283</v>
      </c>
      <c r="F152" t="inlineStr">
        <is>
          <t>VÄRMLANDS LÄN</t>
        </is>
      </c>
      <c r="G152" t="inlineStr">
        <is>
          <t>KIL</t>
        </is>
      </c>
      <c r="I152" t="n">
        <v>10.1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64518-2021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46283</v>
      </c>
      <c r="F153" t="inlineStr">
        <is>
          <t>VÄRMLANDS LÄN</t>
        </is>
      </c>
      <c r="G153" t="inlineStr">
        <is>
          <t>KIL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45349</v>
      </c>
      <c r="E154" s="1" t="n">
        <v>46283</v>
      </c>
      <c r="F154" t="inlineStr">
        <is>
          <t>VÄRMLANDS LÄN</t>
        </is>
      </c>
      <c r="G154" t="inlineStr">
        <is>
          <t>KIL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46283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46283</v>
      </c>
      <c r="F156" t="inlineStr">
        <is>
          <t>VÄRMLANDS LÄN</t>
        </is>
      </c>
      <c r="G156" t="inlineStr">
        <is>
          <t>KIL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46283</v>
      </c>
      <c r="F157" t="inlineStr">
        <is>
          <t>VÄRMLANDS LÄN</t>
        </is>
      </c>
      <c r="G157" t="inlineStr">
        <is>
          <t>KIL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46283</v>
      </c>
      <c r="F158" t="inlineStr">
        <is>
          <t>VÄRMLANDS LÄN</t>
        </is>
      </c>
      <c r="G158" t="inlineStr">
        <is>
          <t>KIL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46283</v>
      </c>
      <c r="F159" t="inlineStr">
        <is>
          <t>VÄRMLANDS LÄN</t>
        </is>
      </c>
      <c r="G159" t="inlineStr">
        <is>
          <t>KIL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46283</v>
      </c>
      <c r="F160" t="inlineStr">
        <is>
          <t>VÄRMLANDS LÄN</t>
        </is>
      </c>
      <c r="G160" t="inlineStr">
        <is>
          <t>KIL</t>
        </is>
      </c>
      <c r="H160" t="inlineStr">
        <is>
          <t>Kyrkan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45397</v>
      </c>
      <c r="E161" s="1" t="n">
        <v>46283</v>
      </c>
      <c r="F161" t="inlineStr">
        <is>
          <t>VÄRMLANDS LÄN</t>
        </is>
      </c>
      <c r="G161" t="inlineStr">
        <is>
          <t>KIL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46283</v>
      </c>
      <c r="F162" t="inlineStr">
        <is>
          <t>VÄRMLANDS LÄN</t>
        </is>
      </c>
      <c r="G162" t="inlineStr">
        <is>
          <t>KIL</t>
        </is>
      </c>
      <c r="I162" t="n">
        <v>17.9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44991</v>
      </c>
      <c r="E163" s="1" t="n">
        <v>46283</v>
      </c>
      <c r="F163" t="inlineStr">
        <is>
          <t>VÄRMLANDS LÄN</t>
        </is>
      </c>
      <c r="G163" t="inlineStr">
        <is>
          <t>KIL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46283</v>
      </c>
      <c r="F164" t="inlineStr">
        <is>
          <t>VÄRMLANDS LÄN</t>
        </is>
      </c>
      <c r="G164" t="inlineStr">
        <is>
          <t>KIL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45527</v>
      </c>
      <c r="E165" s="1" t="n">
        <v>46283</v>
      </c>
      <c r="F165" t="inlineStr">
        <is>
          <t>VÄRMLANDS LÄN</t>
        </is>
      </c>
      <c r="G165" t="inlineStr">
        <is>
          <t>KIL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44660-2024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46283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46283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46283</v>
      </c>
      <c r="F168" t="inlineStr">
        <is>
          <t>VÄRMLANDS LÄN</t>
        </is>
      </c>
      <c r="G168" t="inlineStr">
        <is>
          <t>KIL</t>
        </is>
      </c>
      <c r="H168" t="inlineStr">
        <is>
          <t>Kyrkan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46283</v>
      </c>
      <c r="F169" t="inlineStr">
        <is>
          <t>VÄRMLANDS LÄN</t>
        </is>
      </c>
      <c r="G169" t="inlineStr">
        <is>
          <t>KIL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46283</v>
      </c>
      <c r="F170" t="inlineStr">
        <is>
          <t>VÄRMLANDS LÄN</t>
        </is>
      </c>
      <c r="G170" t="inlineStr">
        <is>
          <t>KIL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44995</v>
      </c>
      <c r="E171" s="1" t="n">
        <v>46283</v>
      </c>
      <c r="F171" t="inlineStr">
        <is>
          <t>VÄRMLANDS LÄN</t>
        </is>
      </c>
      <c r="G171" t="inlineStr">
        <is>
          <t>KIL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45956</v>
      </c>
      <c r="E172" s="1" t="n">
        <v>46283</v>
      </c>
      <c r="F172" t="inlineStr">
        <is>
          <t>VÄRMLANDS LÄN</t>
        </is>
      </c>
      <c r="G172" t="inlineStr">
        <is>
          <t>KIL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44655</v>
      </c>
      <c r="E173" s="1" t="n">
        <v>46283</v>
      </c>
      <c r="F173" t="inlineStr">
        <is>
          <t>VÄRMLANDS LÄN</t>
        </is>
      </c>
      <c r="G173" t="inlineStr">
        <is>
          <t>KIL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46283</v>
      </c>
      <c r="F174" t="inlineStr">
        <is>
          <t>VÄRMLANDS LÄN</t>
        </is>
      </c>
      <c r="G174" t="inlineStr">
        <is>
          <t>KIL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46283</v>
      </c>
      <c r="F175" t="inlineStr">
        <is>
          <t>VÄRMLANDS LÄN</t>
        </is>
      </c>
      <c r="G175" t="inlineStr">
        <is>
          <t>KIL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27638-2026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46190</v>
      </c>
      <c r="E176" s="1" t="n">
        <v>46283</v>
      </c>
      <c r="F176" t="inlineStr">
        <is>
          <t>VÄRMLANDS LÄN</t>
        </is>
      </c>
      <c r="G176" t="inlineStr">
        <is>
          <t>KIL</t>
        </is>
      </c>
      <c r="H176" t="inlineStr">
        <is>
          <t>Kyrkan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29698-2024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45484</v>
      </c>
      <c r="E177" s="1" t="n">
        <v>46283</v>
      </c>
      <c r="F177" t="inlineStr">
        <is>
          <t>VÄRMLANDS LÄN</t>
        </is>
      </c>
      <c r="G177" t="inlineStr">
        <is>
          <t>KIL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46283</v>
      </c>
      <c r="F178" t="inlineStr">
        <is>
          <t>VÄRMLANDS LÄN</t>
        </is>
      </c>
      <c r="G178" t="inlineStr">
        <is>
          <t>KIL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46283</v>
      </c>
      <c r="F179" t="inlineStr">
        <is>
          <t>VÄRMLANDS LÄN</t>
        </is>
      </c>
      <c r="G179" t="inlineStr">
        <is>
          <t>KIL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46283</v>
      </c>
      <c r="F180" t="inlineStr">
        <is>
          <t>VÄRMLANDS LÄN</t>
        </is>
      </c>
      <c r="G180" t="inlineStr">
        <is>
          <t>KIL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45501</v>
      </c>
      <c r="E181" s="1" t="n">
        <v>46283</v>
      </c>
      <c r="F181" t="inlineStr">
        <is>
          <t>VÄRMLANDS LÄN</t>
        </is>
      </c>
      <c r="G181" t="inlineStr">
        <is>
          <t>KIL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45501</v>
      </c>
      <c r="E182" s="1" t="n">
        <v>46283</v>
      </c>
      <c r="F182" t="inlineStr">
        <is>
          <t>VÄRMLANDS LÄN</t>
        </is>
      </c>
      <c r="G182" t="inlineStr">
        <is>
          <t>KIL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50461-2024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46283</v>
      </c>
      <c r="F183" t="inlineStr">
        <is>
          <t>VÄRMLANDS LÄN</t>
        </is>
      </c>
      <c r="G183" t="inlineStr">
        <is>
          <t>KIL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46283</v>
      </c>
      <c r="F184" t="inlineStr">
        <is>
          <t>VÄRMLANDS LÄN</t>
        </is>
      </c>
      <c r="G184" t="inlineStr">
        <is>
          <t>KIL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45427</v>
      </c>
      <c r="E185" s="1" t="n">
        <v>46283</v>
      </c>
      <c r="F185" t="inlineStr">
        <is>
          <t>VÄRMLANDS LÄN</t>
        </is>
      </c>
      <c r="G185" t="inlineStr">
        <is>
          <t>KIL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71728-2021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46283</v>
      </c>
      <c r="F186" t="inlineStr">
        <is>
          <t>VÄRMLANDS LÄN</t>
        </is>
      </c>
      <c r="G186" t="inlineStr">
        <is>
          <t>KIL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45207</v>
      </c>
      <c r="E187" s="1" t="n">
        <v>46283</v>
      </c>
      <c r="F187" t="inlineStr">
        <is>
          <t>VÄRMLANDS LÄN</t>
        </is>
      </c>
      <c r="G187" t="inlineStr">
        <is>
          <t>KIL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46283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46245</v>
      </c>
      <c r="E189" s="1" t="n">
        <v>46283</v>
      </c>
      <c r="F189" t="inlineStr">
        <is>
          <t>VÄRMLANDS LÄN</t>
        </is>
      </c>
      <c r="G189" t="inlineStr">
        <is>
          <t>KIL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46283</v>
      </c>
      <c r="F190" t="inlineStr">
        <is>
          <t>VÄRMLANDS LÄN</t>
        </is>
      </c>
      <c r="G190" t="inlineStr">
        <is>
          <t>KIL</t>
        </is>
      </c>
      <c r="H190" t="inlineStr">
        <is>
          <t>Kommuner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46283</v>
      </c>
      <c r="F191" t="inlineStr">
        <is>
          <t>VÄRMLANDS LÄN</t>
        </is>
      </c>
      <c r="G191" t="inlineStr">
        <is>
          <t>KIL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45704</v>
      </c>
      <c r="E192" s="1" t="n">
        <v>46283</v>
      </c>
      <c r="F192" t="inlineStr">
        <is>
          <t>VÄRMLANDS LÄN</t>
        </is>
      </c>
      <c r="G192" t="inlineStr">
        <is>
          <t>KIL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46283</v>
      </c>
      <c r="F193" t="inlineStr">
        <is>
          <t>VÄRMLANDS LÄN</t>
        </is>
      </c>
      <c r="G193" t="inlineStr">
        <is>
          <t>KIL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46283</v>
      </c>
      <c r="F194" t="inlineStr">
        <is>
          <t>VÄRMLANDS LÄN</t>
        </is>
      </c>
      <c r="G194" t="inlineStr">
        <is>
          <t>KIL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46283</v>
      </c>
      <c r="F195" t="inlineStr">
        <is>
          <t>VÄRMLANDS LÄN</t>
        </is>
      </c>
      <c r="G195" t="inlineStr">
        <is>
          <t>KIL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44735</v>
      </c>
      <c r="E196" s="1" t="n">
        <v>46283</v>
      </c>
      <c r="F196" t="inlineStr">
        <is>
          <t>VÄRMLANDS LÄN</t>
        </is>
      </c>
      <c r="G196" t="inlineStr">
        <is>
          <t>KIL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46283</v>
      </c>
      <c r="F197" t="inlineStr">
        <is>
          <t>VÄRMLANDS LÄN</t>
        </is>
      </c>
      <c r="G197" t="inlineStr">
        <is>
          <t>KIL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46283</v>
      </c>
      <c r="F198" t="inlineStr">
        <is>
          <t>VÄRMLANDS LÄN</t>
        </is>
      </c>
      <c r="G198" t="inlineStr">
        <is>
          <t>KIL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65007-2023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45287</v>
      </c>
      <c r="E199" s="1" t="n">
        <v>46283</v>
      </c>
      <c r="F199" t="inlineStr">
        <is>
          <t>VÄRMLANDS LÄN</t>
        </is>
      </c>
      <c r="G199" t="inlineStr">
        <is>
          <t>KIL</t>
        </is>
      </c>
      <c r="I199" t="n">
        <v>14.2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56957-2025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45978</v>
      </c>
      <c r="E200" s="1" t="n">
        <v>46283</v>
      </c>
      <c r="F200" t="inlineStr">
        <is>
          <t>VÄRMLANDS LÄN</t>
        </is>
      </c>
      <c r="G200" t="inlineStr">
        <is>
          <t>KIL</t>
        </is>
      </c>
      <c r="H200" t="inlineStr">
        <is>
          <t>Kommuner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64140-2023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46283</v>
      </c>
      <c r="F201" t="inlineStr">
        <is>
          <t>VÄRMLANDS LÄN</t>
        </is>
      </c>
      <c r="G201" t="inlineStr">
        <is>
          <t>KIL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46283</v>
      </c>
      <c r="F202" t="inlineStr">
        <is>
          <t>VÄRMLANDS LÄN</t>
        </is>
      </c>
      <c r="G202" t="inlineStr">
        <is>
          <t>KIL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46246</v>
      </c>
      <c r="E203" s="1" t="n">
        <v>46283</v>
      </c>
      <c r="F203" t="inlineStr">
        <is>
          <t>VÄRMLANDS LÄN</t>
        </is>
      </c>
      <c r="G203" t="inlineStr">
        <is>
          <t>KIL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44746</v>
      </c>
      <c r="E204" s="1" t="n">
        <v>46283</v>
      </c>
      <c r="F204" t="inlineStr">
        <is>
          <t>VÄRMLANDS LÄN</t>
        </is>
      </c>
      <c r="G204" t="inlineStr">
        <is>
          <t>KIL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34408-2024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45525</v>
      </c>
      <c r="E205" s="1" t="n">
        <v>46283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45378</v>
      </c>
      <c r="E206" s="1" t="n">
        <v>46283</v>
      </c>
      <c r="F206" t="inlineStr">
        <is>
          <t>VÄRMLANDS LÄN</t>
        </is>
      </c>
      <c r="G206" t="inlineStr">
        <is>
          <t>KIL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46283</v>
      </c>
      <c r="F207" t="inlineStr">
        <is>
          <t>VÄRMLANDS LÄN</t>
        </is>
      </c>
      <c r="G207" t="inlineStr">
        <is>
          <t>KIL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46283</v>
      </c>
      <c r="F208" t="inlineStr">
        <is>
          <t>VÄRMLANDS LÄN</t>
        </is>
      </c>
      <c r="G208" t="inlineStr">
        <is>
          <t>KIL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73251-2021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46283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46283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46283</v>
      </c>
      <c r="F211" t="inlineStr">
        <is>
          <t>VÄRMLANDS LÄN</t>
        </is>
      </c>
      <c r="G211" t="inlineStr">
        <is>
          <t>KIL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46283</v>
      </c>
      <c r="F212" t="inlineStr">
        <is>
          <t>VÄRMLANDS LÄN</t>
        </is>
      </c>
      <c r="G212" t="inlineStr">
        <is>
          <t>KIL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44680</v>
      </c>
      <c r="E213" s="1" t="n">
        <v>46283</v>
      </c>
      <c r="F213" t="inlineStr">
        <is>
          <t>VÄRMLANDS LÄN</t>
        </is>
      </c>
      <c r="G213" t="inlineStr">
        <is>
          <t>KIL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44803</v>
      </c>
      <c r="E214" s="1" t="n">
        <v>46283</v>
      </c>
      <c r="F214" t="inlineStr">
        <is>
          <t>VÄRMLANDS LÄN</t>
        </is>
      </c>
      <c r="G214" t="inlineStr">
        <is>
          <t>KIL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46283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45264</v>
      </c>
      <c r="E216" s="1" t="n">
        <v>46283</v>
      </c>
      <c r="F216" t="inlineStr">
        <is>
          <t>VÄRMLANDS LÄN</t>
        </is>
      </c>
      <c r="G216" t="inlineStr">
        <is>
          <t>KIL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46283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46283</v>
      </c>
      <c r="F218" t="inlineStr">
        <is>
          <t>VÄRMLANDS LÄN</t>
        </is>
      </c>
      <c r="G218" t="inlineStr">
        <is>
          <t>KIL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46283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46020</v>
      </c>
      <c r="E220" s="1" t="n">
        <v>46283</v>
      </c>
      <c r="F220" t="inlineStr">
        <is>
          <t>VÄRMLANDS LÄN</t>
        </is>
      </c>
      <c r="G220" t="inlineStr">
        <is>
          <t>KIL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44775</v>
      </c>
      <c r="E221" s="1" t="n">
        <v>46283</v>
      </c>
      <c r="F221" t="inlineStr">
        <is>
          <t>VÄRMLANDS LÄN</t>
        </is>
      </c>
      <c r="G221" t="inlineStr">
        <is>
          <t>KIL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46283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46283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44941</v>
      </c>
      <c r="E224" s="1" t="n">
        <v>46283</v>
      </c>
      <c r="F224" t="inlineStr">
        <is>
          <t>VÄRMLANDS LÄN</t>
        </is>
      </c>
      <c r="G224" t="inlineStr">
        <is>
          <t>KIL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46283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46283</v>
      </c>
      <c r="F226" t="inlineStr">
        <is>
          <t>VÄRMLANDS LÄN</t>
        </is>
      </c>
      <c r="G226" t="inlineStr">
        <is>
          <t>KIL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46282</v>
      </c>
      <c r="E227" s="1" t="n">
        <v>46283</v>
      </c>
      <c r="F227" t="inlineStr">
        <is>
          <t>VÄRMLANDS LÄN</t>
        </is>
      </c>
      <c r="G227" t="inlineStr">
        <is>
          <t>KIL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46283</v>
      </c>
      <c r="F228" t="inlineStr">
        <is>
          <t>VÄRMLANDS LÄN</t>
        </is>
      </c>
      <c r="G228" t="inlineStr">
        <is>
          <t>KIL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44571</v>
      </c>
      <c r="E229" s="1" t="n">
        <v>46283</v>
      </c>
      <c r="F229" t="inlineStr">
        <is>
          <t>VÄRMLANDS LÄN</t>
        </is>
      </c>
      <c r="G229" t="inlineStr">
        <is>
          <t>KIL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46283</v>
      </c>
      <c r="F230" t="inlineStr">
        <is>
          <t>VÄRMLANDS LÄN</t>
        </is>
      </c>
      <c r="G230" t="inlineStr">
        <is>
          <t>KIL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46041</v>
      </c>
      <c r="E231" s="1" t="n">
        <v>46283</v>
      </c>
      <c r="F231" t="inlineStr">
        <is>
          <t>VÄRMLANDS LÄN</t>
        </is>
      </c>
      <c r="G231" t="inlineStr">
        <is>
          <t>KIL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46283</v>
      </c>
      <c r="F232" t="inlineStr">
        <is>
          <t>VÄRMLANDS LÄN</t>
        </is>
      </c>
      <c r="G232" t="inlineStr">
        <is>
          <t>KIL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45640</v>
      </c>
      <c r="E233" s="1" t="n">
        <v>46283</v>
      </c>
      <c r="F233" t="inlineStr">
        <is>
          <t>VÄRMLANDS LÄN</t>
        </is>
      </c>
      <c r="G233" t="inlineStr">
        <is>
          <t>KIL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46283</v>
      </c>
      <c r="F234" t="inlineStr">
        <is>
          <t>VÄRMLANDS LÄN</t>
        </is>
      </c>
      <c r="G234" t="inlineStr">
        <is>
          <t>KIL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46283</v>
      </c>
      <c r="F235" t="inlineStr">
        <is>
          <t>VÄRMLANDS LÄN</t>
        </is>
      </c>
      <c r="G235" t="inlineStr">
        <is>
          <t>KIL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46283</v>
      </c>
      <c r="F236" t="inlineStr">
        <is>
          <t>VÄRMLANDS LÄN</t>
        </is>
      </c>
      <c r="G236" t="inlineStr">
        <is>
          <t>KIL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45683</v>
      </c>
      <c r="E237" s="1" t="n">
        <v>46283</v>
      </c>
      <c r="F237" t="inlineStr">
        <is>
          <t>VÄRMLANDS LÄN</t>
        </is>
      </c>
      <c r="G237" t="inlineStr">
        <is>
          <t>KIL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26263-2023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46283</v>
      </c>
      <c r="F238" t="inlineStr">
        <is>
          <t>VÄRMLANDS LÄN</t>
        </is>
      </c>
      <c r="G238" t="inlineStr">
        <is>
          <t>KIL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46283</v>
      </c>
      <c r="F239" t="inlineStr">
        <is>
          <t>VÄRMLANDS LÄN</t>
        </is>
      </c>
      <c r="G239" t="inlineStr">
        <is>
          <t>KIL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46283</v>
      </c>
      <c r="F240" t="inlineStr">
        <is>
          <t>VÄRMLANDS LÄN</t>
        </is>
      </c>
      <c r="G240" t="inlineStr">
        <is>
          <t>KIL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46283</v>
      </c>
      <c r="F241" t="inlineStr">
        <is>
          <t>VÄRMLANDS LÄN</t>
        </is>
      </c>
      <c r="G241" t="inlineStr">
        <is>
          <t>KIL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46283</v>
      </c>
      <c r="F242" t="inlineStr">
        <is>
          <t>VÄRMLANDS LÄN</t>
        </is>
      </c>
      <c r="G242" t="inlineStr">
        <is>
          <t>KIL</t>
        </is>
      </c>
      <c r="H242" t="inlineStr">
        <is>
          <t>Kommuner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58679-2021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44489</v>
      </c>
      <c r="E243" s="1" t="n">
        <v>46283</v>
      </c>
      <c r="F243" t="inlineStr">
        <is>
          <t>VÄRMLANDS LÄN</t>
        </is>
      </c>
      <c r="G243" t="inlineStr">
        <is>
          <t>KIL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46283</v>
      </c>
      <c r="F244" t="inlineStr">
        <is>
          <t>VÄRMLANDS LÄN</t>
        </is>
      </c>
      <c r="G244" t="inlineStr">
        <is>
          <t>KIL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45109</v>
      </c>
      <c r="E245" s="1" t="n">
        <v>46283</v>
      </c>
      <c r="F245" t="inlineStr">
        <is>
          <t>VÄRMLANDS LÄN</t>
        </is>
      </c>
      <c r="G245" t="inlineStr">
        <is>
          <t>KIL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45616</v>
      </c>
      <c r="E246" s="1" t="n">
        <v>46283</v>
      </c>
      <c r="F246" t="inlineStr">
        <is>
          <t>VÄRMLANDS LÄN</t>
        </is>
      </c>
      <c r="G246" t="inlineStr">
        <is>
          <t>KIL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46283</v>
      </c>
      <c r="F247" t="inlineStr">
        <is>
          <t>VÄRMLANDS LÄN</t>
        </is>
      </c>
      <c r="G247" t="inlineStr">
        <is>
          <t>KIL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46283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45030</v>
      </c>
      <c r="E249" s="1" t="n">
        <v>46283</v>
      </c>
      <c r="F249" t="inlineStr">
        <is>
          <t>VÄRMLANDS LÄN</t>
        </is>
      </c>
      <c r="G249" t="inlineStr">
        <is>
          <t>KIL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45568</v>
      </c>
      <c r="E250" s="1" t="n">
        <v>46283</v>
      </c>
      <c r="F250" t="inlineStr">
        <is>
          <t>VÄRMLANDS LÄN</t>
        </is>
      </c>
      <c r="G250" t="inlineStr">
        <is>
          <t>KIL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46283</v>
      </c>
      <c r="F251" t="inlineStr">
        <is>
          <t>VÄRMLANDS LÄN</t>
        </is>
      </c>
      <c r="G251" t="inlineStr">
        <is>
          <t>KIL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45252</v>
      </c>
      <c r="E252" s="1" t="n">
        <v>46283</v>
      </c>
      <c r="F252" t="inlineStr">
        <is>
          <t>VÄRMLANDS LÄN</t>
        </is>
      </c>
      <c r="G252" t="inlineStr">
        <is>
          <t>KIL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44768</v>
      </c>
      <c r="E253" s="1" t="n">
        <v>46283</v>
      </c>
      <c r="F253" t="inlineStr">
        <is>
          <t>VÄRMLANDS LÄN</t>
        </is>
      </c>
      <c r="G253" t="inlineStr">
        <is>
          <t>KIL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46283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46283</v>
      </c>
      <c r="F255" t="inlineStr">
        <is>
          <t>VÄRMLANDS LÄN</t>
        </is>
      </c>
      <c r="G255" t="inlineStr">
        <is>
          <t>KIL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46283</v>
      </c>
      <c r="F256" t="inlineStr">
        <is>
          <t>VÄRMLANDS LÄN</t>
        </is>
      </c>
      <c r="G256" t="inlineStr">
        <is>
          <t>KIL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45541</v>
      </c>
      <c r="E257" s="1" t="n">
        <v>46283</v>
      </c>
      <c r="F257" t="inlineStr">
        <is>
          <t>VÄRMLANDS LÄN</t>
        </is>
      </c>
      <c r="G257" t="inlineStr">
        <is>
          <t>KIL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45784</v>
      </c>
      <c r="E258" s="1" t="n">
        <v>46283</v>
      </c>
      <c r="F258" t="inlineStr">
        <is>
          <t>VÄRMLANDS LÄN</t>
        </is>
      </c>
      <c r="G258" t="inlineStr">
        <is>
          <t>KIL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46283</v>
      </c>
      <c r="F259" t="inlineStr">
        <is>
          <t>VÄRMLANDS LÄN</t>
        </is>
      </c>
      <c r="G259" t="inlineStr">
        <is>
          <t>KIL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45287</v>
      </c>
      <c r="E260" s="1" t="n">
        <v>46283</v>
      </c>
      <c r="F260" t="inlineStr">
        <is>
          <t>VÄRMLANDS LÄN</t>
        </is>
      </c>
      <c r="G260" t="inlineStr">
        <is>
          <t>KIL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46283</v>
      </c>
      <c r="F261" t="inlineStr">
        <is>
          <t>VÄRMLANDS LÄN</t>
        </is>
      </c>
      <c r="G261" t="inlineStr">
        <is>
          <t>KIL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46283</v>
      </c>
      <c r="F262" t="inlineStr">
        <is>
          <t>VÄRMLANDS LÄN</t>
        </is>
      </c>
      <c r="G262" t="inlineStr">
        <is>
          <t>KIL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45727</v>
      </c>
      <c r="E263" s="1" t="n">
        <v>46283</v>
      </c>
      <c r="F263" t="inlineStr">
        <is>
          <t>VÄRMLANDS LÄN</t>
        </is>
      </c>
      <c r="G263" t="inlineStr">
        <is>
          <t>KIL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46283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46283</v>
      </c>
      <c r="F265" t="inlineStr">
        <is>
          <t>VÄRMLANDS LÄN</t>
        </is>
      </c>
      <c r="G265" t="inlineStr">
        <is>
          <t>KIL</t>
        </is>
      </c>
      <c r="I265" t="n">
        <v>11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36795-2024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46283</v>
      </c>
      <c r="F266" t="inlineStr">
        <is>
          <t>VÄRMLANDS LÄN</t>
        </is>
      </c>
      <c r="G266" t="inlineStr">
        <is>
          <t>KIL</t>
        </is>
      </c>
      <c r="I266" t="n">
        <v>9.300000000000001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4021-2022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44755</v>
      </c>
      <c r="E267" s="1" t="n">
        <v>46283</v>
      </c>
      <c r="F267" t="inlineStr">
        <is>
          <t>VÄRMLANDS LÄN</t>
        </is>
      </c>
      <c r="G267" t="inlineStr">
        <is>
          <t>KIL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3995-2024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45569</v>
      </c>
      <c r="E268" s="1" t="n">
        <v>46283</v>
      </c>
      <c r="F268" t="inlineStr">
        <is>
          <t>VÄRMLANDS LÄN</t>
        </is>
      </c>
      <c r="G268" t="inlineStr">
        <is>
          <t>KIL</t>
        </is>
      </c>
      <c r="I268" t="n">
        <v>25.3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4404-2023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46283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16.6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6966-2022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44901</v>
      </c>
      <c r="E270" s="1" t="n">
        <v>46283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37.7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4398-2023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45266</v>
      </c>
      <c r="E271" s="1" t="n">
        <v>46283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22.4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2561-2024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46283</v>
      </c>
      <c r="F272" t="inlineStr">
        <is>
          <t>VÄRMLANDS LÄN</t>
        </is>
      </c>
      <c r="G272" t="inlineStr">
        <is>
          <t>KIL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2562-2024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46283</v>
      </c>
      <c r="F273" t="inlineStr">
        <is>
          <t>VÄRMLANDS LÄN</t>
        </is>
      </c>
      <c r="G273" t="inlineStr">
        <is>
          <t>KIL</t>
        </is>
      </c>
      <c r="H273" t="inlineStr">
        <is>
          <t>Kommuner</t>
        </is>
      </c>
      <c r="I273" t="n">
        <v>56.9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2877-2024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45499</v>
      </c>
      <c r="E274" s="1" t="n">
        <v>46283</v>
      </c>
      <c r="F274" t="inlineStr">
        <is>
          <t>VÄRMLANDS LÄN</t>
        </is>
      </c>
      <c r="G274" t="inlineStr">
        <is>
          <t>KIL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114-2026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46037</v>
      </c>
      <c r="E275" s="1" t="n">
        <v>46283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2026-09-18T02:03:17Z</dcterms:created>
  <dcterms:modified xmlns:dcterms="http://purl.org/dc/terms/" xmlns:xsi="http://www.w3.org/2001/XMLSchema-instance" xsi:type="dcterms:W3CDTF">2026-09-18T02:03:17Z</dcterms:modified>
</cp:coreProperties>
</file>