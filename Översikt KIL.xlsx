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46289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46289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46289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46289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46289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23794-2023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46289</v>
      </c>
      <c r="F9" t="inlineStr">
        <is>
          <t>VÄRMLANDS LÄN</t>
        </is>
      </c>
      <c r="G9" t="inlineStr">
        <is>
          <t>KIL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HYPERLINK("https://klasma.github.io/Logging_1715/artfynd/A 23794-2023 artfynd.xlsx", "A 23794-2023")</f>
        <v/>
      </c>
      <c r="X9">
        <f>HYPERLINK("https://klasma.github.io/Logging_1715/kartor/A 23794-2023 karta.png", "A 23794-2023")</f>
        <v/>
      </c>
      <c r="Y9">
        <f>HYPERLINK("https://klasma.github.io/Logging_1715/kartor_geotiff/A 23794-2023 georefererad karta.tif", "A 23794-2023")</f>
        <v/>
      </c>
      <c r="AA9">
        <f>HYPERLINK("https://klasma.github.io/Logging_1715/klagomål/A 23794-2023 FSC-klagomål.docx", "A 23794-2023")</f>
        <v/>
      </c>
      <c r="AB9">
        <f>HYPERLINK("https://klasma.github.io/Logging_1715/klagomålsmail/A 23794-2023 FSC-klagomål mail.docx", "A 23794-2023")</f>
        <v/>
      </c>
      <c r="AC9">
        <f>HYPERLINK("https://klasma.github.io/Logging_1715/tillsyn/A 23794-2023 tillsynsbegäran.docx", "A 23794-2023")</f>
        <v/>
      </c>
      <c r="AD9">
        <f>HYPERLINK("https://klasma.github.io/Logging_1715/tillsynsmail/A 23794-2023 tillsynsbegäran mail.docx", "A 23794-2023")</f>
        <v/>
      </c>
    </row>
    <row r="10" ht="15" customHeight="1">
      <c r="A10" t="inlineStr">
        <is>
          <t>A 54177-2023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46289</v>
      </c>
      <c r="F10" t="inlineStr">
        <is>
          <t>VÄRMLANDS LÄN</t>
        </is>
      </c>
      <c r="G10" t="inlineStr">
        <is>
          <t>KIL</t>
        </is>
      </c>
      <c r="I10" t="n">
        <v>3.6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Strutbräken</t>
        </is>
      </c>
      <c r="W10">
        <f>HYPERLINK("https://klasma.github.io/Logging_1715/artfynd/A 54177-2023 artfynd.xlsx", "A 54177-2023")</f>
        <v/>
      </c>
      <c r="X10">
        <f>HYPERLINK("https://klasma.github.io/Logging_1715/kartor/A 54177-2023 karta.png", "A 54177-2023")</f>
        <v/>
      </c>
      <c r="Y10">
        <f>HYPERLINK("https://klasma.github.io/Logging_1715/kartor_geotiff/A 54177-2023 georefererad karta.tif", "A 54177-2023")</f>
        <v/>
      </c>
      <c r="AA10">
        <f>HYPERLINK("https://klasma.github.io/Logging_1715/klagomål/A 54177-2023 FSC-klagomål.docx", "A 54177-2023")</f>
        <v/>
      </c>
      <c r="AB10">
        <f>HYPERLINK("https://klasma.github.io/Logging_1715/klagomålsmail/A 54177-2023 FSC-klagomål mail.docx", "A 54177-2023")</f>
        <v/>
      </c>
      <c r="AC10">
        <f>HYPERLINK("https://klasma.github.io/Logging_1715/tillsyn/A 54177-2023 tillsynsbegäran.docx", "A 54177-2023")</f>
        <v/>
      </c>
      <c r="AD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45230</v>
      </c>
      <c r="E11" s="1" t="n">
        <v>46289</v>
      </c>
      <c r="F11" t="inlineStr">
        <is>
          <t>VÄRMLANDS LÄN</t>
        </is>
      </c>
      <c r="G11" t="inlineStr">
        <is>
          <t>KIL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Brunfläckig pärlemorfjäril</t>
        </is>
      </c>
      <c r="W11">
        <f>HYPERLINK("https://klasma.github.io/Logging_1715/artfynd/A 53498-2023 artfynd.xlsx", "A 53498-2023")</f>
        <v/>
      </c>
      <c r="X11">
        <f>HYPERLINK("https://klasma.github.io/Logging_1715/kartor/A 53498-2023 karta.png", "A 53498-2023")</f>
        <v/>
      </c>
      <c r="Y11">
        <f>HYPERLINK("https://klasma.github.io/Logging_1715/kartor_geotiff/A 53498-2023 georefererad karta.tif", "A 53498-2023")</f>
        <v/>
      </c>
      <c r="AA11">
        <f>HYPERLINK("https://klasma.github.io/Logging_1715/klagomål/A 53498-2023 FSC-klagomål.docx", "A 53498-2023")</f>
        <v/>
      </c>
      <c r="AB11">
        <f>HYPERLINK("https://klasma.github.io/Logging_1715/klagomålsmail/A 53498-2023 FSC-klagomål mail.docx", "A 53498-2023")</f>
        <v/>
      </c>
      <c r="AC11">
        <f>HYPERLINK("https://klasma.github.io/Logging_1715/tillsyn/A 53498-2023 tillsynsbegäran.docx", "A 53498-2023")</f>
        <v/>
      </c>
      <c r="AD11">
        <f>HYPERLINK("https://klasma.github.io/Logging_1715/tillsynsmail/A 53498-2023 tillsynsbegäran mail.docx", "A 53498-2023")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46289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46289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40853-2024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45558</v>
      </c>
      <c r="E14" s="1" t="n">
        <v>46289</v>
      </c>
      <c r="F14" t="inlineStr">
        <is>
          <t>VÄRMLANDS LÄN</t>
        </is>
      </c>
      <c r="G14" t="inlineStr">
        <is>
          <t>KIL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HYPERLINK("https://klasma.github.io/Logging_1715/artfynd/A 40853-2024 artfynd.xlsx", "A 40853-2024")</f>
        <v/>
      </c>
      <c r="X14">
        <f>HYPERLINK("https://klasma.github.io/Logging_1715/kartor/A 40853-2024 karta.png", "A 40853-2024")</f>
        <v/>
      </c>
      <c r="Y14">
        <f>HYPERLINK("https://klasma.github.io/Logging_1715/kartor_geotiff/A 40853-2024 georefererad karta.tif", "A 40853-2024")</f>
        <v/>
      </c>
      <c r="AA14">
        <f>HYPERLINK("https://klasma.github.io/Logging_1715/klagomål/A 40853-2024 FSC-klagomål.docx", "A 40853-2024")</f>
        <v/>
      </c>
      <c r="AB14">
        <f>HYPERLINK("https://klasma.github.io/Logging_1715/klagomålsmail/A 40853-2024 FSC-klagomål mail.docx", "A 40853-2024")</f>
        <v/>
      </c>
      <c r="AC14">
        <f>HYPERLINK("https://klasma.github.io/Logging_1715/tillsyn/A 40853-2024 tillsynsbegäran.docx", "A 40853-2024")</f>
        <v/>
      </c>
      <c r="AD14">
        <f>HYPERLINK("https://klasma.github.io/Logging_1715/tillsynsmail/A 40853-2024 tillsynsbegäran mail.docx", "A 40853-2024")</f>
        <v/>
      </c>
    </row>
    <row r="15" ht="15" customHeight="1">
      <c r="A15" t="inlineStr">
        <is>
          <t>A 62010-2022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46289</v>
      </c>
      <c r="F15" t="inlineStr">
        <is>
          <t>VÄRMLANDS LÄN</t>
        </is>
      </c>
      <c r="G15" t="inlineStr">
        <is>
          <t>KIL</t>
        </is>
      </c>
      <c r="I15" t="n">
        <v>7.8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Ögonpyrola</t>
        </is>
      </c>
      <c r="W15">
        <f>HYPERLINK("https://klasma.github.io/Logging_1715/artfynd/A 62010-2022 artfynd.xlsx", "A 62010-2022")</f>
        <v/>
      </c>
      <c r="X15">
        <f>HYPERLINK("https://klasma.github.io/Logging_1715/kartor/A 62010-2022 karta.png", "A 62010-2022")</f>
        <v/>
      </c>
      <c r="Y15">
        <f>HYPERLINK("https://klasma.github.io/Logging_1715/kartor_geotiff/A 62010-2022 georefererad karta.tif", "A 62010-2022")</f>
        <v/>
      </c>
      <c r="AA15">
        <f>HYPERLINK("https://klasma.github.io/Logging_1715/klagomål/A 62010-2022 FSC-klagomål.docx", "A 62010-2022")</f>
        <v/>
      </c>
      <c r="AB15">
        <f>HYPERLINK("https://klasma.github.io/Logging_1715/klagomålsmail/A 62010-2022 FSC-klagomål mail.docx", "A 62010-2022")</f>
        <v/>
      </c>
      <c r="AC15">
        <f>HYPERLINK("https://klasma.github.io/Logging_1715/tillsyn/A 62010-2022 tillsynsbegäran.docx", "A 62010-2022")</f>
        <v/>
      </c>
      <c r="AD15">
        <f>HYPERLINK("https://klasma.github.io/Logging_1715/tillsynsmail/A 62010-2022 tillsynsbegäran mail.docx", "A 62010-2022")</f>
        <v/>
      </c>
    </row>
    <row r="16" ht="15" customHeight="1">
      <c r="A16" t="inlineStr">
        <is>
          <t>A 35453-2024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45531</v>
      </c>
      <c r="E16" s="1" t="n">
        <v>46289</v>
      </c>
      <c r="F16" t="inlineStr">
        <is>
          <t>VÄRMLANDS LÄN</t>
        </is>
      </c>
      <c r="G16" t="inlineStr">
        <is>
          <t>KIL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HYPERLINK("https://klasma.github.io/Logging_1715/artfynd/A 35453-2024 artfynd.xlsx", "A 35453-2024")</f>
        <v/>
      </c>
      <c r="X16">
        <f>HYPERLINK("https://klasma.github.io/Logging_1715/kartor/A 35453-2024 karta.png", "A 35453-2024")</f>
        <v/>
      </c>
      <c r="Y16">
        <f>HYPERLINK("https://klasma.github.io/Logging_1715/kartor_geotiff/A 35453-2024 georefererad karta.tif", "A 35453-2024")</f>
        <v/>
      </c>
      <c r="AA16">
        <f>HYPERLINK("https://klasma.github.io/Logging_1715/klagomål/A 35453-2024 FSC-klagomål.docx", "A 35453-2024")</f>
        <v/>
      </c>
      <c r="AB16">
        <f>HYPERLINK("https://klasma.github.io/Logging_1715/klagomålsmail/A 35453-2024 FSC-klagomål mail.docx", "A 35453-2024")</f>
        <v/>
      </c>
      <c r="AC16">
        <f>HYPERLINK("https://klasma.github.io/Logging_1715/tillsyn/A 35453-2024 tillsynsbegäran.docx", "A 35453-2024")</f>
        <v/>
      </c>
      <c r="AD16">
        <f>HYPERLINK("https://klasma.github.io/Logging_1715/tillsynsmail/A 35453-2024 tillsynsbegäran mail.docx", "A 35453-2024")</f>
        <v/>
      </c>
      <c r="AE16">
        <f>HYPERLINK("https://klasma.github.io/Logging_1715/fåglar/A 35453-2024 prioriterade fågelarter.docx", "A 35453-2024")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46289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46289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46289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46289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46289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46289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46289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46289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46289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46289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46289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46289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46289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46289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46289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46289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46289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46289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46289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46289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46289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46289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46289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46289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46289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46289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46289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46289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46289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46289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46289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46289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46289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46289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44481</v>
      </c>
      <c r="E51" s="1" t="n">
        <v>46289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18336-2023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45041</v>
      </c>
      <c r="E52" s="1" t="n">
        <v>46289</v>
      </c>
      <c r="F52" t="inlineStr">
        <is>
          <t>VÄRMLANDS LÄN</t>
        </is>
      </c>
      <c r="G52" t="inlineStr">
        <is>
          <t>KIL</t>
        </is>
      </c>
      <c r="H52" t="inlineStr">
        <is>
          <t>Bergvik skog väst AB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46289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46289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46289</v>
      </c>
      <c r="F55" t="inlineStr">
        <is>
          <t>VÄRMLANDS LÄN</t>
        </is>
      </c>
      <c r="G55" t="inlineStr">
        <is>
          <t>KIL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46289</v>
      </c>
      <c r="F56" t="inlineStr">
        <is>
          <t>VÄRMLANDS LÄN</t>
        </is>
      </c>
      <c r="G56" t="inlineStr">
        <is>
          <t>KIL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46289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46289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46289</v>
      </c>
      <c r="F59" t="inlineStr">
        <is>
          <t>VÄRMLANDS LÄN</t>
        </is>
      </c>
      <c r="G59" t="inlineStr">
        <is>
          <t>KIL</t>
        </is>
      </c>
      <c r="I59" t="n">
        <v>9.6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46289</v>
      </c>
      <c r="F60" t="inlineStr">
        <is>
          <t>VÄRMLANDS LÄN</t>
        </is>
      </c>
      <c r="G60" t="inlineStr">
        <is>
          <t>KIL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46289</v>
      </c>
      <c r="F61" t="inlineStr">
        <is>
          <t>VÄRMLANDS LÄN</t>
        </is>
      </c>
      <c r="G61" t="inlineStr">
        <is>
          <t>KIL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46289</v>
      </c>
      <c r="F62" t="inlineStr">
        <is>
          <t>VÄRMLANDS LÄN</t>
        </is>
      </c>
      <c r="G62" t="inlineStr">
        <is>
          <t>KIL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46289</v>
      </c>
      <c r="F63" t="inlineStr">
        <is>
          <t>VÄRMLANDS LÄN</t>
        </is>
      </c>
      <c r="G63" t="inlineStr">
        <is>
          <t>KIL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46289</v>
      </c>
      <c r="F64" t="inlineStr">
        <is>
          <t>VÄRMLANDS LÄN</t>
        </is>
      </c>
      <c r="G64" t="inlineStr">
        <is>
          <t>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44927</v>
      </c>
      <c r="E65" s="1" t="n">
        <v>46289</v>
      </c>
      <c r="F65" t="inlineStr">
        <is>
          <t>VÄRMLANDS LÄN</t>
        </is>
      </c>
      <c r="G65" t="inlineStr">
        <is>
          <t>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53416-2023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46289</v>
      </c>
      <c r="F66" t="inlineStr">
        <is>
          <t>VÄRMLANDS LÄN</t>
        </is>
      </c>
      <c r="G66" t="inlineStr">
        <is>
          <t>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37962-2022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44811</v>
      </c>
      <c r="E67" s="1" t="n">
        <v>46289</v>
      </c>
      <c r="F67" t="inlineStr">
        <is>
          <t>VÄRMLANDS LÄN</t>
        </is>
      </c>
      <c r="G67" t="inlineStr">
        <is>
          <t>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46289</v>
      </c>
      <c r="F68" t="inlineStr">
        <is>
          <t>VÄRMLANDS LÄN</t>
        </is>
      </c>
      <c r="G68" t="inlineStr">
        <is>
          <t>KIL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62807-2023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45271</v>
      </c>
      <c r="E69" s="1" t="n">
        <v>46289</v>
      </c>
      <c r="F69" t="inlineStr">
        <is>
          <t>VÄRMLANDS LÄN</t>
        </is>
      </c>
      <c r="G69" t="inlineStr">
        <is>
          <t>KIL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34402-2022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46289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46289</v>
      </c>
      <c r="F71" t="inlineStr">
        <is>
          <t>VÄRMLANDS LÄN</t>
        </is>
      </c>
      <c r="G71" t="inlineStr">
        <is>
          <t>KIL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46289</v>
      </c>
      <c r="F72" t="inlineStr">
        <is>
          <t>VÄRMLANDS LÄN</t>
        </is>
      </c>
      <c r="G72" t="inlineStr">
        <is>
          <t>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46289</v>
      </c>
      <c r="F73" t="inlineStr">
        <is>
          <t>VÄRMLANDS LÄN</t>
        </is>
      </c>
      <c r="G73" t="inlineStr">
        <is>
          <t>KIL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46289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44581</v>
      </c>
      <c r="E75" s="1" t="n">
        <v>46289</v>
      </c>
      <c r="F75" t="inlineStr">
        <is>
          <t>VÄRMLANDS LÄN</t>
        </is>
      </c>
      <c r="G75" t="inlineStr">
        <is>
          <t>KIL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44581</v>
      </c>
      <c r="E76" s="1" t="n">
        <v>46289</v>
      </c>
      <c r="F76" t="inlineStr">
        <is>
          <t>VÄRMLANDS LÄN</t>
        </is>
      </c>
      <c r="G76" t="inlineStr">
        <is>
          <t>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46289</v>
      </c>
      <c r="F77" t="inlineStr">
        <is>
          <t>VÄRMLANDS LÄN</t>
        </is>
      </c>
      <c r="G77" t="inlineStr">
        <is>
          <t>KIL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HYPERLINK("https://klasma.github.io/Logging_1715/knärot/A 59064-2023 karta knärot.png", "A 59064-2023")</f>
        <v/>
      </c>
      <c r="AA77">
        <f>HYPERLINK("https://klasma.github.io/Logging_1715/klagomål/A 59064-2023 FSC-klagomål.docx", "A 59064-2023")</f>
        <v/>
      </c>
      <c r="AB77">
        <f>HYPERLINK("https://klasma.github.io/Logging_1715/klagomålsmail/A 59064-2023 FSC-klagomål mail.docx", "A 59064-2023")</f>
        <v/>
      </c>
      <c r="AC77">
        <f>HYPERLINK("https://klasma.github.io/Logging_1715/tillsyn/A 59064-2023 tillsynsbegäran.docx", "A 59064-2023")</f>
        <v/>
      </c>
      <c r="AD77">
        <f>HYPERLINK("https://klasma.github.io/Logging_1715/tillsynsmail/A 59064-2023 tillsynsbegäran mail.docx", "A 59064-2023")</f>
        <v/>
      </c>
    </row>
    <row r="78" ht="15" customHeight="1">
      <c r="A78" t="inlineStr">
        <is>
          <t>A 46117-2022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46289</v>
      </c>
      <c r="F78" t="inlineStr">
        <is>
          <t>VÄRMLANDS LÄN</t>
        </is>
      </c>
      <c r="G78" t="inlineStr">
        <is>
          <t>KIL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46289</v>
      </c>
      <c r="F79" t="inlineStr">
        <is>
          <t>VÄRMLANDS LÄN</t>
        </is>
      </c>
      <c r="G79" t="inlineStr">
        <is>
          <t>KIL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45399</v>
      </c>
      <c r="E80" s="1" t="n">
        <v>46289</v>
      </c>
      <c r="F80" t="inlineStr">
        <is>
          <t>VÄRMLANDS LÄN</t>
        </is>
      </c>
      <c r="G80" t="inlineStr">
        <is>
          <t>KIL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46289</v>
      </c>
      <c r="F81" t="inlineStr">
        <is>
          <t>VÄRMLANDS LÄN</t>
        </is>
      </c>
      <c r="G81" t="inlineStr">
        <is>
          <t>KIL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44565</v>
      </c>
      <c r="E82" s="1" t="n">
        <v>46289</v>
      </c>
      <c r="F82" t="inlineStr">
        <is>
          <t>VÄRMLANDS LÄN</t>
        </is>
      </c>
      <c r="G82" t="inlineStr">
        <is>
          <t>KIL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46289</v>
      </c>
      <c r="F83" t="inlineStr">
        <is>
          <t>VÄRMLANDS LÄN</t>
        </is>
      </c>
      <c r="G83" t="inlineStr">
        <is>
          <t>KIL</t>
        </is>
      </c>
      <c r="H83" t="inlineStr">
        <is>
          <t>Kyrkan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46289</v>
      </c>
      <c r="F84" t="inlineStr">
        <is>
          <t>VÄRMLANDS LÄN</t>
        </is>
      </c>
      <c r="G84" t="inlineStr">
        <is>
          <t>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46289</v>
      </c>
      <c r="F85" t="inlineStr">
        <is>
          <t>VÄRMLANDS LÄN</t>
        </is>
      </c>
      <c r="G85" t="inlineStr">
        <is>
          <t>KIL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44874</v>
      </c>
      <c r="E86" s="1" t="n">
        <v>46289</v>
      </c>
      <c r="F86" t="inlineStr">
        <is>
          <t>VÄRMLANDS LÄN</t>
        </is>
      </c>
      <c r="G86" t="inlineStr">
        <is>
          <t>KIL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44927</v>
      </c>
      <c r="E87" s="1" t="n">
        <v>46289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45287</v>
      </c>
      <c r="E88" s="1" t="n">
        <v>46289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46289</v>
      </c>
      <c r="F89" t="inlineStr">
        <is>
          <t>VÄRMLANDS LÄN</t>
        </is>
      </c>
      <c r="G89" t="inlineStr">
        <is>
          <t>KIL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45367</v>
      </c>
      <c r="E90" s="1" t="n">
        <v>46289</v>
      </c>
      <c r="F90" t="inlineStr">
        <is>
          <t>VÄRMLANDS LÄN</t>
        </is>
      </c>
      <c r="G90" t="inlineStr">
        <is>
          <t>KIL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46289</v>
      </c>
      <c r="F91" t="inlineStr">
        <is>
          <t>VÄRMLANDS LÄN</t>
        </is>
      </c>
      <c r="G91" t="inlineStr">
        <is>
          <t>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45392</v>
      </c>
      <c r="E92" s="1" t="n">
        <v>46289</v>
      </c>
      <c r="F92" t="inlineStr">
        <is>
          <t>VÄRMLANDS LÄN</t>
        </is>
      </c>
      <c r="G92" t="inlineStr">
        <is>
          <t>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46289</v>
      </c>
      <c r="F93" t="inlineStr">
        <is>
          <t>VÄRMLANDS LÄN</t>
        </is>
      </c>
      <c r="G93" t="inlineStr">
        <is>
          <t>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46289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46289</v>
      </c>
      <c r="F95" t="inlineStr">
        <is>
          <t>VÄRMLANDS LÄN</t>
        </is>
      </c>
      <c r="G95" t="inlineStr">
        <is>
          <t>KIL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46289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45112</v>
      </c>
      <c r="E97" s="1" t="n">
        <v>46289</v>
      </c>
      <c r="F97" t="inlineStr">
        <is>
          <t>VÄRMLANDS LÄN</t>
        </is>
      </c>
      <c r="G97" t="inlineStr">
        <is>
          <t>KIL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46289</v>
      </c>
      <c r="F98" t="inlineStr">
        <is>
          <t>VÄRMLANDS LÄN</t>
        </is>
      </c>
      <c r="G98" t="inlineStr">
        <is>
          <t>KIL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62667-2023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46289</v>
      </c>
      <c r="F99" t="inlineStr">
        <is>
          <t>VÄRMLANDS LÄN</t>
        </is>
      </c>
      <c r="G99" t="inlineStr">
        <is>
          <t>KIL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46289</v>
      </c>
      <c r="F100" t="inlineStr">
        <is>
          <t>VÄRMLANDS LÄN</t>
        </is>
      </c>
      <c r="G100" t="inlineStr">
        <is>
          <t>KIL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46289</v>
      </c>
      <c r="F101" t="inlineStr">
        <is>
          <t>VÄRMLANDS LÄN</t>
        </is>
      </c>
      <c r="G101" t="inlineStr">
        <is>
          <t>KIL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45294</v>
      </c>
      <c r="E102" s="1" t="n">
        <v>46289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46289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46289</v>
      </c>
      <c r="F104" t="inlineStr">
        <is>
          <t>VÄRMLANDS LÄN</t>
        </is>
      </c>
      <c r="G104" t="inlineStr">
        <is>
          <t>KIL</t>
        </is>
      </c>
      <c r="H104" t="inlineStr">
        <is>
          <t>Kyrkan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45397</v>
      </c>
      <c r="E105" s="1" t="n">
        <v>46289</v>
      </c>
      <c r="F105" t="inlineStr">
        <is>
          <t>VÄRMLANDS LÄN</t>
        </is>
      </c>
      <c r="G105" t="inlineStr">
        <is>
          <t>KIL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46289</v>
      </c>
      <c r="F106" t="inlineStr">
        <is>
          <t>VÄRMLANDS LÄN</t>
        </is>
      </c>
      <c r="G106" t="inlineStr">
        <is>
          <t>KIL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45538</v>
      </c>
      <c r="E107" s="1" t="n">
        <v>46289</v>
      </c>
      <c r="F107" t="inlineStr">
        <is>
          <t>VÄRMLANDS LÄN</t>
        </is>
      </c>
      <c r="G107" t="inlineStr">
        <is>
          <t>KIL</t>
        </is>
      </c>
      <c r="I107" t="n">
        <v>17.9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46289</v>
      </c>
      <c r="F108" t="inlineStr">
        <is>
          <t>VÄRMLANDS LÄN</t>
        </is>
      </c>
      <c r="G108" t="inlineStr">
        <is>
          <t>KIL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46289</v>
      </c>
      <c r="F109" t="inlineStr">
        <is>
          <t>VÄRMLANDS LÄN</t>
        </is>
      </c>
      <c r="G109" t="inlineStr">
        <is>
          <t>KIL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46289</v>
      </c>
      <c r="F110" t="inlineStr">
        <is>
          <t>VÄRMLANDS LÄN</t>
        </is>
      </c>
      <c r="G110" t="inlineStr">
        <is>
          <t>KIL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56765-2021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46289</v>
      </c>
      <c r="F111" t="inlineStr">
        <is>
          <t>VÄRMLANDS LÄN</t>
        </is>
      </c>
      <c r="G111" t="inlineStr">
        <is>
          <t>KIL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46289</v>
      </c>
      <c r="F112" t="inlineStr">
        <is>
          <t>VÄRMLANDS LÄN</t>
        </is>
      </c>
      <c r="G112" t="inlineStr">
        <is>
          <t>KIL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46289</v>
      </c>
      <c r="F113" t="inlineStr">
        <is>
          <t>VÄRMLANDS LÄN</t>
        </is>
      </c>
      <c r="G113" t="inlineStr">
        <is>
          <t>KIL</t>
        </is>
      </c>
      <c r="H113" t="inlineStr">
        <is>
          <t>Kyrkan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45574</v>
      </c>
      <c r="E114" s="1" t="n">
        <v>46289</v>
      </c>
      <c r="F114" t="inlineStr">
        <is>
          <t>VÄRMLANDS LÄN</t>
        </is>
      </c>
      <c r="G114" t="inlineStr">
        <is>
          <t>KIL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46289</v>
      </c>
      <c r="F115" t="inlineStr">
        <is>
          <t>VÄRMLANDS LÄN</t>
        </is>
      </c>
      <c r="G115" t="inlineStr">
        <is>
          <t>KIL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22566-2025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46289</v>
      </c>
      <c r="F116" t="inlineStr">
        <is>
          <t>VÄRMLANDS LÄN</t>
        </is>
      </c>
      <c r="G116" t="inlineStr">
        <is>
          <t>KIL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44930</v>
      </c>
      <c r="E117" s="1" t="n">
        <v>46289</v>
      </c>
      <c r="F117" t="inlineStr">
        <is>
          <t>VÄRMLANDS LÄN</t>
        </is>
      </c>
      <c r="G117" t="inlineStr">
        <is>
          <t>KIL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45194</v>
      </c>
      <c r="E118" s="1" t="n">
        <v>46289</v>
      </c>
      <c r="F118" t="inlineStr">
        <is>
          <t>VÄRMLANDS LÄN</t>
        </is>
      </c>
      <c r="G118" t="inlineStr">
        <is>
          <t>KIL</t>
        </is>
      </c>
      <c r="I118" t="n">
        <v>11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46289</v>
      </c>
      <c r="F119" t="inlineStr">
        <is>
          <t>VÄRMLANDS LÄN</t>
        </is>
      </c>
      <c r="G119" t="inlineStr">
        <is>
          <t>KIL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46289</v>
      </c>
      <c r="F120" t="inlineStr">
        <is>
          <t>VÄRMLANDS LÄN</t>
        </is>
      </c>
      <c r="G120" t="inlineStr">
        <is>
          <t>KIL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46289</v>
      </c>
      <c r="F121" t="inlineStr">
        <is>
          <t>VÄRMLANDS LÄN</t>
        </is>
      </c>
      <c r="G121" t="inlineStr">
        <is>
          <t>KIL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46289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46289</v>
      </c>
      <c r="F123" t="inlineStr">
        <is>
          <t>VÄRMLANDS LÄN</t>
        </is>
      </c>
      <c r="G123" t="inlineStr">
        <is>
          <t>KIL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36795-2024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46289</v>
      </c>
      <c r="F124" t="inlineStr">
        <is>
          <t>VÄRMLANDS LÄN</t>
        </is>
      </c>
      <c r="G124" t="inlineStr">
        <is>
          <t>KIL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46289</v>
      </c>
      <c r="F125" t="inlineStr">
        <is>
          <t>VÄRMLANDS LÄN</t>
        </is>
      </c>
      <c r="G125" t="inlineStr">
        <is>
          <t>KIL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46289</v>
      </c>
      <c r="F126" t="inlineStr">
        <is>
          <t>VÄRMLANDS LÄN</t>
        </is>
      </c>
      <c r="G126" t="inlineStr">
        <is>
          <t>KIL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46289</v>
      </c>
      <c r="F127" t="inlineStr">
        <is>
          <t>VÄRMLANDS LÄN</t>
        </is>
      </c>
      <c r="G127" t="inlineStr">
        <is>
          <t>KIL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46289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45435</v>
      </c>
      <c r="E129" s="1" t="n">
        <v>46289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48427-2025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45934</v>
      </c>
      <c r="E130" s="1" t="n">
        <v>46289</v>
      </c>
      <c r="F130" t="inlineStr">
        <is>
          <t>VÄRMLANDS LÄN</t>
        </is>
      </c>
      <c r="G130" t="inlineStr">
        <is>
          <t>KIL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46289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46289</v>
      </c>
      <c r="F132" t="inlineStr">
        <is>
          <t>VÄRMLANDS LÄN</t>
        </is>
      </c>
      <c r="G132" t="inlineStr">
        <is>
          <t>KIL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46289</v>
      </c>
      <c r="F133" t="inlineStr">
        <is>
          <t>VÄRMLANDS LÄN</t>
        </is>
      </c>
      <c r="G133" t="inlineStr">
        <is>
          <t>KIL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46289</v>
      </c>
      <c r="F134" t="inlineStr">
        <is>
          <t>VÄRMLANDS LÄN</t>
        </is>
      </c>
      <c r="G134" t="inlineStr">
        <is>
          <t>KIL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46289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46289</v>
      </c>
      <c r="F136" t="inlineStr">
        <is>
          <t>VÄRMLANDS LÄN</t>
        </is>
      </c>
      <c r="G136" t="inlineStr">
        <is>
          <t>KIL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29698-2024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45484</v>
      </c>
      <c r="E137" s="1" t="n">
        <v>46289</v>
      </c>
      <c r="F137" t="inlineStr">
        <is>
          <t>VÄRMLANDS LÄN</t>
        </is>
      </c>
      <c r="G137" t="inlineStr">
        <is>
          <t>KIL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15721-2024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45404</v>
      </c>
      <c r="E138" s="1" t="n">
        <v>46289</v>
      </c>
      <c r="F138" t="inlineStr">
        <is>
          <t>VÄRMLANDS LÄN</t>
        </is>
      </c>
      <c r="G138" t="inlineStr">
        <is>
          <t>KIL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46289</v>
      </c>
      <c r="F139" t="inlineStr">
        <is>
          <t>VÄRMLANDS LÄN</t>
        </is>
      </c>
      <c r="G139" t="inlineStr">
        <is>
          <t>KIL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46289</v>
      </c>
      <c r="F140" t="inlineStr">
        <is>
          <t>VÄRMLANDS LÄN</t>
        </is>
      </c>
      <c r="G140" t="inlineStr">
        <is>
          <t>KIL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45501</v>
      </c>
      <c r="E141" s="1" t="n">
        <v>46289</v>
      </c>
      <c r="F141" t="inlineStr">
        <is>
          <t>VÄRMLANDS LÄN</t>
        </is>
      </c>
      <c r="G141" t="inlineStr">
        <is>
          <t>KIL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45501</v>
      </c>
      <c r="E142" s="1" t="n">
        <v>46289</v>
      </c>
      <c r="F142" t="inlineStr">
        <is>
          <t>VÄRMLANDS LÄN</t>
        </is>
      </c>
      <c r="G142" t="inlineStr">
        <is>
          <t>KIL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46289</v>
      </c>
      <c r="F143" t="inlineStr">
        <is>
          <t>VÄRMLANDS LÄN</t>
        </is>
      </c>
      <c r="G143" t="inlineStr">
        <is>
          <t>KIL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45367</v>
      </c>
      <c r="E144" s="1" t="n">
        <v>46289</v>
      </c>
      <c r="F144" t="inlineStr">
        <is>
          <t>VÄRMLANDS LÄN</t>
        </is>
      </c>
      <c r="G144" t="inlineStr">
        <is>
          <t>KIL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46289</v>
      </c>
      <c r="F145" t="inlineStr">
        <is>
          <t>VÄRMLANDS LÄN</t>
        </is>
      </c>
      <c r="G145" t="inlineStr">
        <is>
          <t>KIL</t>
        </is>
      </c>
      <c r="H145" t="inlineStr">
        <is>
          <t>Kyrkan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46289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46289</v>
      </c>
      <c r="F147" t="inlineStr">
        <is>
          <t>VÄRMLANDS LÄN</t>
        </is>
      </c>
      <c r="G147" t="inlineStr">
        <is>
          <t>KIL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46289</v>
      </c>
      <c r="F148" t="inlineStr">
        <is>
          <t>VÄRMLANDS LÄN</t>
        </is>
      </c>
      <c r="G148" t="inlineStr">
        <is>
          <t>KIL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18948-2024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45427</v>
      </c>
      <c r="E149" s="1" t="n">
        <v>46289</v>
      </c>
      <c r="F149" t="inlineStr">
        <is>
          <t>VÄRMLANDS LÄN</t>
        </is>
      </c>
      <c r="G149" t="inlineStr">
        <is>
          <t>KIL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46289</v>
      </c>
      <c r="F150" t="inlineStr">
        <is>
          <t>VÄRMLANDS LÄN</t>
        </is>
      </c>
      <c r="G150" t="inlineStr">
        <is>
          <t>KIL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46289</v>
      </c>
      <c r="F151" t="inlineStr">
        <is>
          <t>VÄRMLANDS LÄN</t>
        </is>
      </c>
      <c r="G151" t="inlineStr">
        <is>
          <t>KIL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45956</v>
      </c>
      <c r="E152" s="1" t="n">
        <v>46289</v>
      </c>
      <c r="F152" t="inlineStr">
        <is>
          <t>VÄRMLANDS LÄN</t>
        </is>
      </c>
      <c r="G152" t="inlineStr">
        <is>
          <t>KIL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45705</v>
      </c>
      <c r="E153" s="1" t="n">
        <v>46289</v>
      </c>
      <c r="F153" t="inlineStr">
        <is>
          <t>VÄRMLANDS LÄN</t>
        </is>
      </c>
      <c r="G153" t="inlineStr">
        <is>
          <t>KIL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45961</v>
      </c>
      <c r="E154" s="1" t="n">
        <v>46289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45207</v>
      </c>
      <c r="E155" s="1" t="n">
        <v>46289</v>
      </c>
      <c r="F155" t="inlineStr">
        <is>
          <t>VÄRMLANDS LÄN</t>
        </is>
      </c>
      <c r="G155" t="inlineStr">
        <is>
          <t>KIL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45961</v>
      </c>
      <c r="E156" s="1" t="n">
        <v>46289</v>
      </c>
      <c r="F156" t="inlineStr">
        <is>
          <t>VÄRMLANDS LÄN</t>
        </is>
      </c>
      <c r="G156" t="inlineStr">
        <is>
          <t>KIL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46289</v>
      </c>
      <c r="F157" t="inlineStr">
        <is>
          <t>VÄRMLANDS LÄN</t>
        </is>
      </c>
      <c r="G157" t="inlineStr">
        <is>
          <t>KIL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46289</v>
      </c>
      <c r="F158" t="inlineStr">
        <is>
          <t>VÄRMLANDS LÄN</t>
        </is>
      </c>
      <c r="G158" t="inlineStr">
        <is>
          <t>KIL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46289</v>
      </c>
      <c r="F159" t="inlineStr">
        <is>
          <t>VÄRMLANDS LÄN</t>
        </is>
      </c>
      <c r="G159" t="inlineStr">
        <is>
          <t>KIL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46289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44657</v>
      </c>
      <c r="E161" s="1" t="n">
        <v>46289</v>
      </c>
      <c r="F161" t="inlineStr">
        <is>
          <t>VÄRMLANDS LÄN</t>
        </is>
      </c>
      <c r="G161" t="inlineStr">
        <is>
          <t>KIL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46289</v>
      </c>
      <c r="F162" t="inlineStr">
        <is>
          <t>VÄRMLANDS LÄN</t>
        </is>
      </c>
      <c r="G162" t="inlineStr">
        <is>
          <t>KIL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45704</v>
      </c>
      <c r="E163" s="1" t="n">
        <v>46289</v>
      </c>
      <c r="F163" t="inlineStr">
        <is>
          <t>VÄRMLANDS LÄN</t>
        </is>
      </c>
      <c r="G163" t="inlineStr">
        <is>
          <t>KIL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46289</v>
      </c>
      <c r="F164" t="inlineStr">
        <is>
          <t>VÄRMLANDS LÄN</t>
        </is>
      </c>
      <c r="G164" t="inlineStr">
        <is>
          <t>KIL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46289</v>
      </c>
      <c r="F165" t="inlineStr">
        <is>
          <t>VÄRMLANDS LÄN</t>
        </is>
      </c>
      <c r="G165" t="inlineStr">
        <is>
          <t>KIL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45621</v>
      </c>
      <c r="E166" s="1" t="n">
        <v>46289</v>
      </c>
      <c r="F166" t="inlineStr">
        <is>
          <t>VÄRMLANDS LÄN</t>
        </is>
      </c>
      <c r="G166" t="inlineStr">
        <is>
          <t>KIL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44735</v>
      </c>
      <c r="E167" s="1" t="n">
        <v>46289</v>
      </c>
      <c r="F167" t="inlineStr">
        <is>
          <t>VÄRMLANDS LÄN</t>
        </is>
      </c>
      <c r="G167" t="inlineStr">
        <is>
          <t>KIL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46289</v>
      </c>
      <c r="F168" t="inlineStr">
        <is>
          <t>VÄRMLANDS LÄN</t>
        </is>
      </c>
      <c r="G168" t="inlineStr">
        <is>
          <t>KIL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46289</v>
      </c>
      <c r="F169" t="inlineStr">
        <is>
          <t>VÄRMLANDS LÄN</t>
        </is>
      </c>
      <c r="G169" t="inlineStr">
        <is>
          <t>KIL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46289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46289</v>
      </c>
      <c r="F171" t="inlineStr">
        <is>
          <t>VÄRMLANDS LÄN</t>
        </is>
      </c>
      <c r="G171" t="inlineStr">
        <is>
          <t>KIL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46289</v>
      </c>
      <c r="F172" t="inlineStr">
        <is>
          <t>VÄRMLANDS LÄN</t>
        </is>
      </c>
      <c r="G172" t="inlineStr">
        <is>
          <t>KIL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56957-2025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45978</v>
      </c>
      <c r="E173" s="1" t="n">
        <v>46289</v>
      </c>
      <c r="F173" t="inlineStr">
        <is>
          <t>VÄRMLANDS LÄN</t>
        </is>
      </c>
      <c r="G173" t="inlineStr">
        <is>
          <t>KIL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65007-2023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45287</v>
      </c>
      <c r="E174" s="1" t="n">
        <v>46289</v>
      </c>
      <c r="F174" t="inlineStr">
        <is>
          <t>VÄRMLANDS LÄN</t>
        </is>
      </c>
      <c r="G174" t="inlineStr">
        <is>
          <t>KIL</t>
        </is>
      </c>
      <c r="I174" t="n">
        <v>14.2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45166</v>
      </c>
      <c r="E175" s="1" t="n">
        <v>46289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24.9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46289</v>
      </c>
      <c r="F176" t="inlineStr">
        <is>
          <t>VÄRMLANDS LÄN</t>
        </is>
      </c>
      <c r="G176" t="inlineStr">
        <is>
          <t>KIL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46289</v>
      </c>
      <c r="F177" t="inlineStr">
        <is>
          <t>VÄRMLANDS LÄN</t>
        </is>
      </c>
      <c r="G177" t="inlineStr">
        <is>
          <t>KIL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46289</v>
      </c>
      <c r="F178" t="inlineStr">
        <is>
          <t>VÄRMLANDS LÄN</t>
        </is>
      </c>
      <c r="G178" t="inlineStr">
        <is>
          <t>KIL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44746</v>
      </c>
      <c r="E179" s="1" t="n">
        <v>46289</v>
      </c>
      <c r="F179" t="inlineStr">
        <is>
          <t>VÄRMLANDS LÄN</t>
        </is>
      </c>
      <c r="G179" t="inlineStr">
        <is>
          <t>KIL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34408-2024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46289</v>
      </c>
      <c r="F180" t="inlineStr">
        <is>
          <t>VÄRMLANDS LÄN</t>
        </is>
      </c>
      <c r="G180" t="inlineStr">
        <is>
          <t>KIL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46289</v>
      </c>
      <c r="F181" t="inlineStr">
        <is>
          <t>VÄRMLANDS LÄN</t>
        </is>
      </c>
      <c r="G181" t="inlineStr">
        <is>
          <t>KIL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46289</v>
      </c>
      <c r="F182" t="inlineStr">
        <is>
          <t>VÄRMLANDS LÄN</t>
        </is>
      </c>
      <c r="G182" t="inlineStr">
        <is>
          <t>KIL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46289</v>
      </c>
      <c r="F183" t="inlineStr">
        <is>
          <t>VÄRMLANDS LÄN</t>
        </is>
      </c>
      <c r="G183" t="inlineStr">
        <is>
          <t>KIL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73251-2021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46289</v>
      </c>
      <c r="F184" t="inlineStr">
        <is>
          <t>VÄRMLANDS LÄN</t>
        </is>
      </c>
      <c r="G184" t="inlineStr">
        <is>
          <t>KIL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46289</v>
      </c>
      <c r="F185" t="inlineStr">
        <is>
          <t>VÄRMLANDS LÄN</t>
        </is>
      </c>
      <c r="G185" t="inlineStr">
        <is>
          <t>KIL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46289</v>
      </c>
      <c r="F186" t="inlineStr">
        <is>
          <t>VÄRMLANDS LÄN</t>
        </is>
      </c>
      <c r="G186" t="inlineStr">
        <is>
          <t>KIL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46289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46289</v>
      </c>
      <c r="F188" t="inlineStr">
        <is>
          <t>VÄRMLANDS LÄN</t>
        </is>
      </c>
      <c r="G188" t="inlineStr">
        <is>
          <t>KIL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46289</v>
      </c>
      <c r="F189" t="inlineStr">
        <is>
          <t>VÄRMLANDS LÄN</t>
        </is>
      </c>
      <c r="G189" t="inlineStr">
        <is>
          <t>KIL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46289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44680</v>
      </c>
      <c r="E191" s="1" t="n">
        <v>46289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44803</v>
      </c>
      <c r="E192" s="1" t="n">
        <v>46289</v>
      </c>
      <c r="F192" t="inlineStr">
        <is>
          <t>VÄRMLANDS LÄN</t>
        </is>
      </c>
      <c r="G192" t="inlineStr">
        <is>
          <t>KIL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45309</v>
      </c>
      <c r="E193" s="1" t="n">
        <v>46289</v>
      </c>
      <c r="F193" t="inlineStr">
        <is>
          <t>VÄRMLANDS LÄN</t>
        </is>
      </c>
      <c r="G193" t="inlineStr">
        <is>
          <t>KIL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45264</v>
      </c>
      <c r="E194" s="1" t="n">
        <v>46289</v>
      </c>
      <c r="F194" t="inlineStr">
        <is>
          <t>VÄRMLANDS LÄN</t>
        </is>
      </c>
      <c r="G194" t="inlineStr">
        <is>
          <t>KIL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46289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46289</v>
      </c>
      <c r="F196" t="inlineStr">
        <is>
          <t>VÄRMLANDS LÄN</t>
        </is>
      </c>
      <c r="G196" t="inlineStr">
        <is>
          <t>KIL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46289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46289</v>
      </c>
      <c r="F198" t="inlineStr">
        <is>
          <t>VÄRMLANDS LÄN</t>
        </is>
      </c>
      <c r="G198" t="inlineStr">
        <is>
          <t>KIL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46283</v>
      </c>
      <c r="E199" s="1" t="n">
        <v>46289</v>
      </c>
      <c r="F199" t="inlineStr">
        <is>
          <t>VÄRMLANDS LÄN</t>
        </is>
      </c>
      <c r="G199" t="inlineStr">
        <is>
          <t>KIL</t>
        </is>
      </c>
      <c r="H199" t="inlineStr">
        <is>
          <t>Kommuner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46289</v>
      </c>
      <c r="F200" t="inlineStr">
        <is>
          <t>VÄRMLANDS LÄN</t>
        </is>
      </c>
      <c r="G200" t="inlineStr">
        <is>
          <t>KIL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46289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46245</v>
      </c>
      <c r="E202" s="1" t="n">
        <v>46289</v>
      </c>
      <c r="F202" t="inlineStr">
        <is>
          <t>VÄRMLANDS LÄN</t>
        </is>
      </c>
      <c r="G202" t="inlineStr">
        <is>
          <t>KIL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46246</v>
      </c>
      <c r="E203" s="1" t="n">
        <v>46289</v>
      </c>
      <c r="F203" t="inlineStr">
        <is>
          <t>VÄRMLANDS LÄN</t>
        </is>
      </c>
      <c r="G203" t="inlineStr">
        <is>
          <t>KIL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46246</v>
      </c>
      <c r="E204" s="1" t="n">
        <v>46289</v>
      </c>
      <c r="F204" t="inlineStr">
        <is>
          <t>VÄRMLANDS LÄN</t>
        </is>
      </c>
      <c r="G204" t="inlineStr">
        <is>
          <t>KIL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44775</v>
      </c>
      <c r="E205" s="1" t="n">
        <v>46289</v>
      </c>
      <c r="F205" t="inlineStr">
        <is>
          <t>VÄRMLANDS LÄN</t>
        </is>
      </c>
      <c r="G205" t="inlineStr">
        <is>
          <t>KIL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46289</v>
      </c>
      <c r="F206" t="inlineStr">
        <is>
          <t>VÄRMLANDS LÄN</t>
        </is>
      </c>
      <c r="G206" t="inlineStr">
        <is>
          <t>KIL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46289</v>
      </c>
      <c r="F207" t="inlineStr">
        <is>
          <t>VÄRMLANDS LÄN</t>
        </is>
      </c>
      <c r="G207" t="inlineStr">
        <is>
          <t>KIL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44941</v>
      </c>
      <c r="E208" s="1" t="n">
        <v>46289</v>
      </c>
      <c r="F208" t="inlineStr">
        <is>
          <t>VÄRMLANDS LÄN</t>
        </is>
      </c>
      <c r="G208" t="inlineStr">
        <is>
          <t>KIL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46289</v>
      </c>
      <c r="F209" t="inlineStr">
        <is>
          <t>VÄRMLANDS LÄN</t>
        </is>
      </c>
      <c r="G209" t="inlineStr">
        <is>
          <t>KIL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46289</v>
      </c>
      <c r="F210" t="inlineStr">
        <is>
          <t>VÄRMLANDS LÄN</t>
        </is>
      </c>
      <c r="G210" t="inlineStr">
        <is>
          <t>KIL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46289</v>
      </c>
      <c r="F211" t="inlineStr">
        <is>
          <t>VÄRMLANDS LÄN</t>
        </is>
      </c>
      <c r="G211" t="inlineStr">
        <is>
          <t>KIL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46289</v>
      </c>
      <c r="F212" t="inlineStr">
        <is>
          <t>VÄRMLANDS LÄN</t>
        </is>
      </c>
      <c r="G212" t="inlineStr">
        <is>
          <t>KIL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46289</v>
      </c>
      <c r="F213" t="inlineStr">
        <is>
          <t>VÄRMLANDS LÄN</t>
        </is>
      </c>
      <c r="G213" t="inlineStr">
        <is>
          <t>KIL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46289</v>
      </c>
      <c r="F214" t="inlineStr">
        <is>
          <t>VÄRMLANDS LÄN</t>
        </is>
      </c>
      <c r="G214" t="inlineStr">
        <is>
          <t>KIL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46289</v>
      </c>
      <c r="F215" t="inlineStr">
        <is>
          <t>VÄRMLANDS LÄN</t>
        </is>
      </c>
      <c r="G215" t="inlineStr">
        <is>
          <t>KIL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46289</v>
      </c>
      <c r="F216" t="inlineStr">
        <is>
          <t>VÄRMLANDS LÄN</t>
        </is>
      </c>
      <c r="G216" t="inlineStr">
        <is>
          <t>KIL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45640</v>
      </c>
      <c r="E217" s="1" t="n">
        <v>46289</v>
      </c>
      <c r="F217" t="inlineStr">
        <is>
          <t>VÄRMLANDS LÄN</t>
        </is>
      </c>
      <c r="G217" t="inlineStr">
        <is>
          <t>KIL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46289</v>
      </c>
      <c r="F218" t="inlineStr">
        <is>
          <t>VÄRMLANDS LÄN</t>
        </is>
      </c>
      <c r="G218" t="inlineStr">
        <is>
          <t>KIL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46289</v>
      </c>
      <c r="F219" t="inlineStr">
        <is>
          <t>VÄRMLANDS LÄN</t>
        </is>
      </c>
      <c r="G219" t="inlineStr">
        <is>
          <t>KIL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46289</v>
      </c>
      <c r="F220" t="inlineStr">
        <is>
          <t>VÄRMLANDS LÄN</t>
        </is>
      </c>
      <c r="G220" t="inlineStr">
        <is>
          <t>KIL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46289</v>
      </c>
      <c r="F221" t="inlineStr">
        <is>
          <t>VÄRMLANDS LÄN</t>
        </is>
      </c>
      <c r="G221" t="inlineStr">
        <is>
          <t>KIL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46289</v>
      </c>
      <c r="F222" t="inlineStr">
        <is>
          <t>VÄRMLANDS LÄN</t>
        </is>
      </c>
      <c r="G222" t="inlineStr">
        <is>
          <t>KIL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45683</v>
      </c>
      <c r="E223" s="1" t="n">
        <v>46289</v>
      </c>
      <c r="F223" t="inlineStr">
        <is>
          <t>VÄRMLANDS LÄN</t>
        </is>
      </c>
      <c r="G223" t="inlineStr">
        <is>
          <t>KIL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46289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46289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36305-2022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44803</v>
      </c>
      <c r="E226" s="1" t="n">
        <v>46289</v>
      </c>
      <c r="F226" t="inlineStr">
        <is>
          <t>VÄRMLANDS LÄN</t>
        </is>
      </c>
      <c r="G226" t="inlineStr">
        <is>
          <t>KIL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46289</v>
      </c>
      <c r="F227" t="inlineStr">
        <is>
          <t>VÄRMLANDS LÄN</t>
        </is>
      </c>
      <c r="G227" t="inlineStr">
        <is>
          <t>KIL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10374-2022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44623</v>
      </c>
      <c r="E228" s="1" t="n">
        <v>46289</v>
      </c>
      <c r="F228" t="inlineStr">
        <is>
          <t>VÄRMLANDS LÄN</t>
        </is>
      </c>
      <c r="G228" t="inlineStr">
        <is>
          <t>KIL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46289</v>
      </c>
      <c r="F229" t="inlineStr">
        <is>
          <t>VÄRMLANDS LÄN</t>
        </is>
      </c>
      <c r="G229" t="inlineStr">
        <is>
          <t>KIL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46289</v>
      </c>
      <c r="F230" t="inlineStr">
        <is>
          <t>VÄRMLANDS LÄN</t>
        </is>
      </c>
      <c r="G230" t="inlineStr">
        <is>
          <t>KIL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20184-2026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46289</v>
      </c>
      <c r="F231" t="inlineStr">
        <is>
          <t>VÄRMLANDS LÄN</t>
        </is>
      </c>
      <c r="G231" t="inlineStr">
        <is>
          <t>KIL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46289</v>
      </c>
      <c r="F232" t="inlineStr">
        <is>
          <t>VÄRMLANDS LÄN</t>
        </is>
      </c>
      <c r="G232" t="inlineStr">
        <is>
          <t>KIL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45109</v>
      </c>
      <c r="E233" s="1" t="n">
        <v>46289</v>
      </c>
      <c r="F233" t="inlineStr">
        <is>
          <t>VÄRMLANDS LÄN</t>
        </is>
      </c>
      <c r="G233" t="inlineStr">
        <is>
          <t>KIL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45616</v>
      </c>
      <c r="E234" s="1" t="n">
        <v>46289</v>
      </c>
      <c r="F234" t="inlineStr">
        <is>
          <t>VÄRMLANDS LÄN</t>
        </is>
      </c>
      <c r="G234" t="inlineStr">
        <is>
          <t>KIL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46289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45520</v>
      </c>
      <c r="E236" s="1" t="n">
        <v>46289</v>
      </c>
      <c r="F236" t="inlineStr">
        <is>
          <t>VÄRMLANDS LÄN</t>
        </is>
      </c>
      <c r="G236" t="inlineStr">
        <is>
          <t>KIL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46289</v>
      </c>
      <c r="F237" t="inlineStr">
        <is>
          <t>VÄRMLANDS LÄN</t>
        </is>
      </c>
      <c r="G237" t="inlineStr">
        <is>
          <t>KIL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45807</v>
      </c>
      <c r="E238" s="1" t="n">
        <v>46289</v>
      </c>
      <c r="F238" t="inlineStr">
        <is>
          <t>VÄRMLANDS LÄN</t>
        </is>
      </c>
      <c r="G238" t="inlineStr">
        <is>
          <t>KIL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46289</v>
      </c>
      <c r="F239" t="inlineStr">
        <is>
          <t>VÄRMLANDS LÄN</t>
        </is>
      </c>
      <c r="G239" t="inlineStr">
        <is>
          <t>KIL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46289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46289</v>
      </c>
      <c r="F241" t="inlineStr">
        <is>
          <t>VÄRMLANDS LÄN</t>
        </is>
      </c>
      <c r="G241" t="inlineStr">
        <is>
          <t>KIL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64374-2023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46289</v>
      </c>
      <c r="F242" t="inlineStr">
        <is>
          <t>VÄRMLANDS LÄN</t>
        </is>
      </c>
      <c r="G242" t="inlineStr">
        <is>
          <t>KIL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45252</v>
      </c>
      <c r="E243" s="1" t="n">
        <v>46289</v>
      </c>
      <c r="F243" t="inlineStr">
        <is>
          <t>VÄRMLANDS LÄN</t>
        </is>
      </c>
      <c r="G243" t="inlineStr">
        <is>
          <t>KIL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46289</v>
      </c>
      <c r="F244" t="inlineStr">
        <is>
          <t>VÄRMLANDS LÄN</t>
        </is>
      </c>
      <c r="G244" t="inlineStr">
        <is>
          <t>KIL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30951-2022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44768</v>
      </c>
      <c r="E245" s="1" t="n">
        <v>46289</v>
      </c>
      <c r="F245" t="inlineStr">
        <is>
          <t>VÄRMLANDS LÄN</t>
        </is>
      </c>
      <c r="G245" t="inlineStr">
        <is>
          <t>KIL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46289</v>
      </c>
      <c r="F246" t="inlineStr">
        <is>
          <t>VÄRMLANDS LÄN</t>
        </is>
      </c>
      <c r="G246" t="inlineStr">
        <is>
          <t>KIL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46289</v>
      </c>
      <c r="F247" t="inlineStr">
        <is>
          <t>VÄRMLANDS LÄN</t>
        </is>
      </c>
      <c r="G247" t="inlineStr">
        <is>
          <t>KIL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46289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46289</v>
      </c>
      <c r="F249" t="inlineStr">
        <is>
          <t>VÄRMLANDS LÄN</t>
        </is>
      </c>
      <c r="G249" t="inlineStr">
        <is>
          <t>KIL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46289</v>
      </c>
      <c r="F250" t="inlineStr">
        <is>
          <t>VÄRMLANDS LÄN</t>
        </is>
      </c>
      <c r="G250" t="inlineStr">
        <is>
          <t>KIL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45749</v>
      </c>
      <c r="E251" s="1" t="n">
        <v>46289</v>
      </c>
      <c r="F251" t="inlineStr">
        <is>
          <t>VÄRMLANDS LÄN</t>
        </is>
      </c>
      <c r="G251" t="inlineStr">
        <is>
          <t>KIL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46289</v>
      </c>
      <c r="F252" t="inlineStr">
        <is>
          <t>VÄRMLANDS LÄN</t>
        </is>
      </c>
      <c r="G252" t="inlineStr">
        <is>
          <t>KIL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46289</v>
      </c>
      <c r="F253" t="inlineStr">
        <is>
          <t>VÄRMLANDS LÄN</t>
        </is>
      </c>
      <c r="G253" t="inlineStr">
        <is>
          <t>KIL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46289</v>
      </c>
      <c r="F254" t="inlineStr">
        <is>
          <t>VÄRMLANDS LÄN</t>
        </is>
      </c>
      <c r="G254" t="inlineStr">
        <is>
          <t>KIL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45398</v>
      </c>
      <c r="E255" s="1" t="n">
        <v>46289</v>
      </c>
      <c r="F255" t="inlineStr">
        <is>
          <t>VÄRMLANDS LÄN</t>
        </is>
      </c>
      <c r="G255" t="inlineStr">
        <is>
          <t>KIL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65002-2023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45287</v>
      </c>
      <c r="E256" s="1" t="n">
        <v>46289</v>
      </c>
      <c r="F256" t="inlineStr">
        <is>
          <t>VÄRMLANDS LÄN</t>
        </is>
      </c>
      <c r="G256" t="inlineStr">
        <is>
          <t>KIL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46289</v>
      </c>
      <c r="F257" t="inlineStr">
        <is>
          <t>VÄRMLANDS LÄN</t>
        </is>
      </c>
      <c r="G257" t="inlineStr">
        <is>
          <t>KIL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46289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24262-2025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46289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46289</v>
      </c>
      <c r="F260" t="inlineStr">
        <is>
          <t>VÄRMLANDS LÄN</t>
        </is>
      </c>
      <c r="G260" t="inlineStr">
        <is>
          <t>KIL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46289</v>
      </c>
      <c r="F261" t="inlineStr">
        <is>
          <t>VÄRMLANDS LÄN</t>
        </is>
      </c>
      <c r="G261" t="inlineStr">
        <is>
          <t>KIL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27638-2026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46190</v>
      </c>
      <c r="E262" s="1" t="n">
        <v>46289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46289</v>
      </c>
      <c r="F263" t="inlineStr">
        <is>
          <t>VÄRMLANDS LÄN</t>
        </is>
      </c>
      <c r="G263" t="inlineStr">
        <is>
          <t>KIL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46282</v>
      </c>
      <c r="E264" s="1" t="n">
        <v>46289</v>
      </c>
      <c r="F264" t="inlineStr">
        <is>
          <t>VÄRMLANDS LÄN</t>
        </is>
      </c>
      <c r="G264" t="inlineStr">
        <is>
          <t>KIL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46282</v>
      </c>
      <c r="E265" s="1" t="n">
        <v>46289</v>
      </c>
      <c r="F265" t="inlineStr">
        <is>
          <t>VÄRMLANDS LÄN</t>
        </is>
      </c>
      <c r="G265" t="inlineStr">
        <is>
          <t>KIL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46289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46289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46289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46289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46289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46289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46289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46289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46289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2026-09-24T01:56:37Z</dcterms:created>
  <dcterms:modified xmlns:dcterms="http://purl.org/dc/terms/" xmlns:xsi="http://www.w3.org/2001/XMLSchema-instance" xsi:type="dcterms:W3CDTF">2026-09-24T01:56:37Z</dcterms:modified>
</cp:coreProperties>
</file>