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46089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46089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46089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46089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46089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46089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46089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46089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46089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46089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46089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46089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46089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46089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46089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46089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46089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46089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46089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46089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46089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46089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46089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46089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46089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46089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46089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43661-2021</t>
        </is>
      </c>
      <c r="B35" s="1" t="n">
        <v>44433</v>
      </c>
      <c r="C35" s="1" t="n">
        <v>46089</v>
      </c>
      <c r="D35" t="inlineStr">
        <is>
          <t>VÄRMLANDS LÄN</t>
        </is>
      </c>
      <c r="E35" t="inlineStr">
        <is>
          <t>KIL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46089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46089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46089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46089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46089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46089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46089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46089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21378-2021</t>
        </is>
      </c>
      <c r="B44" s="1" t="n">
        <v>44320</v>
      </c>
      <c r="C44" s="1" t="n">
        <v>46089</v>
      </c>
      <c r="D44" t="inlineStr">
        <is>
          <t>VÄRMLANDS LÄN</t>
        </is>
      </c>
      <c r="E44" t="inlineStr">
        <is>
          <t>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46089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46089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46089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46089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46089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46089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46089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46089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46089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46089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46089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46089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46089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46089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46089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46089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46089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46089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46089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46089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46089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46089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46089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46089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46089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46089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46089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46089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12280-2024</t>
        </is>
      </c>
      <c r="B73" s="1" t="n">
        <v>45378</v>
      </c>
      <c r="C73" s="1" t="n">
        <v>46089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17240-2025</t>
        </is>
      </c>
      <c r="B74" s="1" t="n">
        <v>45756.48184027777</v>
      </c>
      <c r="C74" s="1" t="n">
        <v>46089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59061-2023</t>
        </is>
      </c>
      <c r="B75" s="1" t="n">
        <v>45252</v>
      </c>
      <c r="C75" s="1" t="n">
        <v>46089</v>
      </c>
      <c r="D75" t="inlineStr">
        <is>
          <t>VÄRMLANDS LÄN</t>
        </is>
      </c>
      <c r="E75" t="inlineStr">
        <is>
          <t>KIL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3-2023</t>
        </is>
      </c>
      <c r="B76" s="1" t="n">
        <v>44927</v>
      </c>
      <c r="C76" s="1" t="n">
        <v>46089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46089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46089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14651-2024</t>
        </is>
      </c>
      <c r="B79" s="1" t="n">
        <v>45397</v>
      </c>
      <c r="C79" s="1" t="n">
        <v>46089</v>
      </c>
      <c r="D79" t="inlineStr">
        <is>
          <t>VÄRMLANDS LÄN</t>
        </is>
      </c>
      <c r="E79" t="inlineStr">
        <is>
          <t>KIL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14507-2025</t>
        </is>
      </c>
      <c r="B80" s="1" t="n">
        <v>45741</v>
      </c>
      <c r="C80" s="1" t="n">
        <v>46089</v>
      </c>
      <c r="D80" t="inlineStr">
        <is>
          <t>VÄRMLANDS LÄN</t>
        </is>
      </c>
      <c r="E80" t="inlineStr">
        <is>
          <t>KIL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46089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31032-2024</t>
        </is>
      </c>
      <c r="B82" s="1" t="n">
        <v>45501.41740740741</v>
      </c>
      <c r="C82" s="1" t="n">
        <v>46089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31033-2024</t>
        </is>
      </c>
      <c r="B83" s="1" t="n">
        <v>45501.43387731481</v>
      </c>
      <c r="C83" s="1" t="n">
        <v>46089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56641-2023</t>
        </is>
      </c>
      <c r="B84" s="1" t="n">
        <v>45243</v>
      </c>
      <c r="C84" s="1" t="n">
        <v>46089</v>
      </c>
      <c r="D84" t="inlineStr">
        <is>
          <t>VÄRMLANDS LÄN</t>
        </is>
      </c>
      <c r="E84" t="inlineStr">
        <is>
          <t>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46089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46089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24247-2025</t>
        </is>
      </c>
      <c r="B87" s="1" t="n">
        <v>45797.39939814815</v>
      </c>
      <c r="C87" s="1" t="n">
        <v>46089</v>
      </c>
      <c r="D87" t="inlineStr">
        <is>
          <t>VÄRMLANDS LÄN</t>
        </is>
      </c>
      <c r="E87" t="inlineStr">
        <is>
          <t>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14921-2025</t>
        </is>
      </c>
      <c r="B88" s="1" t="n">
        <v>45743</v>
      </c>
      <c r="C88" s="1" t="n">
        <v>46089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24262-2025</t>
        </is>
      </c>
      <c r="B89" s="1" t="n">
        <v>45797.42086805555</v>
      </c>
      <c r="C89" s="1" t="n">
        <v>46089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46089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36971-2024</t>
        </is>
      </c>
      <c r="B91" s="1" t="n">
        <v>45538.83505787037</v>
      </c>
      <c r="C91" s="1" t="n">
        <v>46089</v>
      </c>
      <c r="D91" t="inlineStr">
        <is>
          <t>VÄRMLANDS LÄN</t>
        </is>
      </c>
      <c r="E91" t="inlineStr">
        <is>
          <t>KIL</t>
        </is>
      </c>
      <c r="G91" t="n">
        <v>17.9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11558-2025</t>
        </is>
      </c>
      <c r="B92" s="1" t="n">
        <v>45727.35804398148</v>
      </c>
      <c r="C92" s="1" t="n">
        <v>46089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46089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24494-2025</t>
        </is>
      </c>
      <c r="B94" s="1" t="n">
        <v>45798</v>
      </c>
      <c r="C94" s="1" t="n">
        <v>46089</v>
      </c>
      <c r="D94" t="inlineStr">
        <is>
          <t>VÄRMLANDS LÄN</t>
        </is>
      </c>
      <c r="E94" t="inlineStr">
        <is>
          <t>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27359-2025</t>
        </is>
      </c>
      <c r="B95" s="1" t="n">
        <v>45812.63760416667</v>
      </c>
      <c r="C95" s="1" t="n">
        <v>46089</v>
      </c>
      <c r="D95" t="inlineStr">
        <is>
          <t>VÄRMLANDS LÄN</t>
        </is>
      </c>
      <c r="E95" t="inlineStr">
        <is>
          <t>KIL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15962-2025</t>
        </is>
      </c>
      <c r="B96" s="1" t="n">
        <v>45749</v>
      </c>
      <c r="C96" s="1" t="n">
        <v>46089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12195-2025</t>
        </is>
      </c>
      <c r="B97" s="1" t="n">
        <v>45729</v>
      </c>
      <c r="C97" s="1" t="n">
        <v>46089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63811-2025</t>
        </is>
      </c>
      <c r="B98" s="1" t="n">
        <v>46020.32520833334</v>
      </c>
      <c r="C98" s="1" t="n">
        <v>46089</v>
      </c>
      <c r="D98" t="inlineStr">
        <is>
          <t>VÄRMLANDS LÄN</t>
        </is>
      </c>
      <c r="E98" t="inlineStr">
        <is>
          <t>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7586-2025</t>
        </is>
      </c>
      <c r="B99" s="1" t="n">
        <v>45705</v>
      </c>
      <c r="C99" s="1" t="n">
        <v>46089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46089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242-2024</t>
        </is>
      </c>
      <c r="B101" s="1" t="n">
        <v>45294</v>
      </c>
      <c r="C101" s="1" t="n">
        <v>46089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46089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29615-2022</t>
        </is>
      </c>
      <c r="B103" s="1" t="n">
        <v>44754</v>
      </c>
      <c r="C103" s="1" t="n">
        <v>46089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40742-2025</t>
        </is>
      </c>
      <c r="B104" s="1" t="n">
        <v>45897</v>
      </c>
      <c r="C104" s="1" t="n">
        <v>46089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26438-2025</t>
        </is>
      </c>
      <c r="B105" s="1" t="n">
        <v>45807</v>
      </c>
      <c r="C105" s="1" t="n">
        <v>46089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46089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46089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46089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46089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46089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46089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46089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17946-2024</t>
        </is>
      </c>
      <c r="B113" s="1" t="n">
        <v>45419.63671296297</v>
      </c>
      <c r="C113" s="1" t="n">
        <v>46089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46089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46089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46089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38760-2023</t>
        </is>
      </c>
      <c r="B117" s="1" t="n">
        <v>45163</v>
      </c>
      <c r="C117" s="1" t="n">
        <v>46089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15472-2025</t>
        </is>
      </c>
      <c r="B118" s="1" t="n">
        <v>45747</v>
      </c>
      <c r="C118" s="1" t="n">
        <v>46089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15477-2025</t>
        </is>
      </c>
      <c r="B119" s="1" t="n">
        <v>45747.54640046296</v>
      </c>
      <c r="C119" s="1" t="n">
        <v>46089</v>
      </c>
      <c r="D119" t="inlineStr">
        <is>
          <t>VÄRMLANDS LÄN</t>
        </is>
      </c>
      <c r="E119" t="inlineStr">
        <is>
          <t>KIL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53957-2024</t>
        </is>
      </c>
      <c r="B120" s="1" t="n">
        <v>45616</v>
      </c>
      <c r="C120" s="1" t="n">
        <v>46089</v>
      </c>
      <c r="D120" t="inlineStr">
        <is>
          <t>VÄRMLANDS LÄN</t>
        </is>
      </c>
      <c r="E120" t="inlineStr">
        <is>
          <t>KIL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17806-2023</t>
        </is>
      </c>
      <c r="B121" s="1" t="n">
        <v>45037.57375</v>
      </c>
      <c r="C121" s="1" t="n">
        <v>46089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57211-2024</t>
        </is>
      </c>
      <c r="B122" s="1" t="n">
        <v>45629</v>
      </c>
      <c r="C122" s="1" t="n">
        <v>46089</v>
      </c>
      <c r="D122" t="inlineStr">
        <is>
          <t>VÄRMLANDS LÄN</t>
        </is>
      </c>
      <c r="E122" t="inlineStr">
        <is>
          <t>KIL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17329-2025</t>
        </is>
      </c>
      <c r="B123" s="1" t="n">
        <v>45756.64131944445</v>
      </c>
      <c r="C123" s="1" t="n">
        <v>46089</v>
      </c>
      <c r="D123" t="inlineStr">
        <is>
          <t>VÄRMLANDS LÄN</t>
        </is>
      </c>
      <c r="E123" t="inlineStr">
        <is>
          <t>KIL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43285-2024</t>
        </is>
      </c>
      <c r="B124" s="1" t="n">
        <v>45568</v>
      </c>
      <c r="C124" s="1" t="n">
        <v>46089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16609-2025</t>
        </is>
      </c>
      <c r="B125" s="1" t="n">
        <v>45753</v>
      </c>
      <c r="C125" s="1" t="n">
        <v>46089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6687-2023</t>
        </is>
      </c>
      <c r="B126" s="1" t="n">
        <v>44966.65414351852</v>
      </c>
      <c r="C126" s="1" t="n">
        <v>46089</v>
      </c>
      <c r="D126" t="inlineStr">
        <is>
          <t>VÄRMLANDS LÄN</t>
        </is>
      </c>
      <c r="E126" t="inlineStr">
        <is>
          <t>KIL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29914-2025</t>
        </is>
      </c>
      <c r="B127" s="1" t="n">
        <v>45826.41162037037</v>
      </c>
      <c r="C127" s="1" t="n">
        <v>46089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30260-2025</t>
        </is>
      </c>
      <c r="B128" s="1" t="n">
        <v>45827</v>
      </c>
      <c r="C128" s="1" t="n">
        <v>46089</v>
      </c>
      <c r="D128" t="inlineStr">
        <is>
          <t>VÄRMLANDS LÄN</t>
        </is>
      </c>
      <c r="E128" t="inlineStr">
        <is>
          <t>KIL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64193-2021</t>
        </is>
      </c>
      <c r="B129" s="1" t="n">
        <v>44510.59939814815</v>
      </c>
      <c r="C129" s="1" t="n">
        <v>46089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59064-2023</t>
        </is>
      </c>
      <c r="B130" s="1" t="n">
        <v>45252</v>
      </c>
      <c r="C130" s="1" t="n">
        <v>46089</v>
      </c>
      <c r="D130" t="inlineStr">
        <is>
          <t>VÄRMLANDS LÄN</t>
        </is>
      </c>
      <c r="E130" t="inlineStr">
        <is>
          <t>KIL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HYPERLINK("https://klasma.github.io/Logging_1715/knärot/A 59064-2023 karta knärot.png", "A 59064-2023")</f>
        <v/>
      </c>
      <c r="V130">
        <f>HYPERLINK("https://klasma.github.io/Logging_1715/klagomål/A 59064-2023 FSC-klagomål.docx", "A 59064-2023")</f>
        <v/>
      </c>
      <c r="W130">
        <f>HYPERLINK("https://klasma.github.io/Logging_1715/klagomålsmail/A 59064-2023 FSC-klagomål mail.docx", "A 59064-2023")</f>
        <v/>
      </c>
      <c r="X130">
        <f>HYPERLINK("https://klasma.github.io/Logging_1715/tillsyn/A 59064-2023 tillsynsbegäran.docx", "A 59064-2023")</f>
        <v/>
      </c>
      <c r="Y130">
        <f>HYPERLINK("https://klasma.github.io/Logging_1715/tillsynsmail/A 59064-2023 tillsynsbegäran mail.docx", "A 59064-2023")</f>
        <v/>
      </c>
    </row>
    <row r="131" ht="15" customHeight="1">
      <c r="A131" t="inlineStr">
        <is>
          <t>A 30584-2025</t>
        </is>
      </c>
      <c r="B131" s="1" t="n">
        <v>45831</v>
      </c>
      <c r="C131" s="1" t="n">
        <v>46089</v>
      </c>
      <c r="D131" t="inlineStr">
        <is>
          <t>VÄRMLANDS LÄN</t>
        </is>
      </c>
      <c r="E131" t="inlineStr">
        <is>
          <t>KIL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38835-2024</t>
        </is>
      </c>
      <c r="B132" s="1" t="n">
        <v>45547</v>
      </c>
      <c r="C132" s="1" t="n">
        <v>46089</v>
      </c>
      <c r="D132" t="inlineStr">
        <is>
          <t>VÄRMLANDS LÄN</t>
        </is>
      </c>
      <c r="E132" t="inlineStr">
        <is>
          <t>KIL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3851-2025</t>
        </is>
      </c>
      <c r="B133" s="1" t="n">
        <v>45683.88302083333</v>
      </c>
      <c r="C133" s="1" t="n">
        <v>46089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45776-2025</t>
        </is>
      </c>
      <c r="B134" s="1" t="n">
        <v>45923</v>
      </c>
      <c r="C134" s="1" t="n">
        <v>46089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12928-2025</t>
        </is>
      </c>
      <c r="B135" s="1" t="n">
        <v>45734</v>
      </c>
      <c r="C135" s="1" t="n">
        <v>46089</v>
      </c>
      <c r="D135" t="inlineStr">
        <is>
          <t>VÄRMLANDS LÄN</t>
        </is>
      </c>
      <c r="E135" t="inlineStr">
        <is>
          <t>KIL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45786-2025</t>
        </is>
      </c>
      <c r="B136" s="1" t="n">
        <v>45923.56116898148</v>
      </c>
      <c r="C136" s="1" t="n">
        <v>46089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31559-2025</t>
        </is>
      </c>
      <c r="B137" s="1" t="n">
        <v>45833.65369212963</v>
      </c>
      <c r="C137" s="1" t="n">
        <v>46089</v>
      </c>
      <c r="D137" t="inlineStr">
        <is>
          <t>VÄRMLANDS LÄN</t>
        </is>
      </c>
      <c r="E137" t="inlineStr">
        <is>
          <t>KIL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54177-2023</t>
        </is>
      </c>
      <c r="B138" s="1" t="n">
        <v>45232</v>
      </c>
      <c r="C138" s="1" t="n">
        <v>46089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20357-2021</t>
        </is>
      </c>
      <c r="B139" s="1" t="n">
        <v>44315</v>
      </c>
      <c r="C139" s="1" t="n">
        <v>46089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46220-2021</t>
        </is>
      </c>
      <c r="B140" s="1" t="n">
        <v>44442.50498842593</v>
      </c>
      <c r="C140" s="1" t="n">
        <v>46089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46089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39039-2024</t>
        </is>
      </c>
      <c r="B142" s="1" t="n">
        <v>45548</v>
      </c>
      <c r="C142" s="1" t="n">
        <v>46089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32410-2025</t>
        </is>
      </c>
      <c r="B143" s="1" t="n">
        <v>45838.33539351852</v>
      </c>
      <c r="C143" s="1" t="n">
        <v>46089</v>
      </c>
      <c r="D143" t="inlineStr">
        <is>
          <t>VÄRMLANDS LÄN</t>
        </is>
      </c>
      <c r="E143" t="inlineStr">
        <is>
          <t>KIL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64140-2023</t>
        </is>
      </c>
      <c r="B144" s="1" t="n">
        <v>45279.5659375</v>
      </c>
      <c r="C144" s="1" t="n">
        <v>46089</v>
      </c>
      <c r="D144" t="inlineStr">
        <is>
          <t>VÄRMLANDS LÄN</t>
        </is>
      </c>
      <c r="E144" t="inlineStr">
        <is>
          <t>KIL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62669-2023</t>
        </is>
      </c>
      <c r="B145" s="1" t="n">
        <v>45271.46321759259</v>
      </c>
      <c r="C145" s="1" t="n">
        <v>46089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10476-2025</t>
        </is>
      </c>
      <c r="B146" s="1" t="n">
        <v>45720</v>
      </c>
      <c r="C146" s="1" t="n">
        <v>46089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2309-2024</t>
        </is>
      </c>
      <c r="B147" s="1" t="n">
        <v>45310</v>
      </c>
      <c r="C147" s="1" t="n">
        <v>46089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47786-2025</t>
        </is>
      </c>
      <c r="B148" s="1" t="n">
        <v>45931</v>
      </c>
      <c r="C148" s="1" t="n">
        <v>46089</v>
      </c>
      <c r="D148" t="inlineStr">
        <is>
          <t>VÄRMLANDS LÄN</t>
        </is>
      </c>
      <c r="E148" t="inlineStr">
        <is>
          <t>KIL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47797-2025</t>
        </is>
      </c>
      <c r="B149" s="1" t="n">
        <v>45931</v>
      </c>
      <c r="C149" s="1" t="n">
        <v>46089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47801-2025</t>
        </is>
      </c>
      <c r="B150" s="1" t="n">
        <v>45931</v>
      </c>
      <c r="C150" s="1" t="n">
        <v>46089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47789-2025</t>
        </is>
      </c>
      <c r="B151" s="1" t="n">
        <v>45931</v>
      </c>
      <c r="C151" s="1" t="n">
        <v>46089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12349-2025</t>
        </is>
      </c>
      <c r="B152" s="1" t="n">
        <v>45730</v>
      </c>
      <c r="C152" s="1" t="n">
        <v>46089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46089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46089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46089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47791-2025</t>
        </is>
      </c>
      <c r="B156" s="1" t="n">
        <v>45931</v>
      </c>
      <c r="C156" s="1" t="n">
        <v>46089</v>
      </c>
      <c r="D156" t="inlineStr">
        <is>
          <t>VÄRMLANDS LÄN</t>
        </is>
      </c>
      <c r="E156" t="inlineStr">
        <is>
          <t>KIL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47798-2025</t>
        </is>
      </c>
      <c r="B157" s="1" t="n">
        <v>45931</v>
      </c>
      <c r="C157" s="1" t="n">
        <v>46089</v>
      </c>
      <c r="D157" t="inlineStr">
        <is>
          <t>VÄRMLANDS LÄN</t>
        </is>
      </c>
      <c r="E157" t="inlineStr">
        <is>
          <t>KIL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47804-2025</t>
        </is>
      </c>
      <c r="B158" s="1" t="n">
        <v>45931</v>
      </c>
      <c r="C158" s="1" t="n">
        <v>46089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47784-2025</t>
        </is>
      </c>
      <c r="B159" s="1" t="n">
        <v>45931</v>
      </c>
      <c r="C159" s="1" t="n">
        <v>46089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8541-2025</t>
        </is>
      </c>
      <c r="B160" s="1" t="n">
        <v>45709.605</v>
      </c>
      <c r="C160" s="1" t="n">
        <v>46089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7822-2024</t>
        </is>
      </c>
      <c r="B161" s="1" t="n">
        <v>45349.71133101852</v>
      </c>
      <c r="C161" s="1" t="n">
        <v>46089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15039-2022</t>
        </is>
      </c>
      <c r="B162" s="1" t="n">
        <v>44657.619375</v>
      </c>
      <c r="C162" s="1" t="n">
        <v>46089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17473-2025</t>
        </is>
      </c>
      <c r="B163" s="1" t="n">
        <v>45757.47975694444</v>
      </c>
      <c r="C163" s="1" t="n">
        <v>46089</v>
      </c>
      <c r="D163" t="inlineStr">
        <is>
          <t>VÄRMLANDS LÄN</t>
        </is>
      </c>
      <c r="E163" t="inlineStr">
        <is>
          <t>KIL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33913-2025</t>
        </is>
      </c>
      <c r="B164" s="1" t="n">
        <v>45842</v>
      </c>
      <c r="C164" s="1" t="n">
        <v>46089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33914-2025</t>
        </is>
      </c>
      <c r="B165" s="1" t="n">
        <v>45842</v>
      </c>
      <c r="C165" s="1" t="n">
        <v>46089</v>
      </c>
      <c r="D165" t="inlineStr">
        <is>
          <t>VÄRMLANDS LÄN</t>
        </is>
      </c>
      <c r="E165" t="inlineStr">
        <is>
          <t>KIL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48427-2025</t>
        </is>
      </c>
      <c r="B166" s="1" t="n">
        <v>45934</v>
      </c>
      <c r="C166" s="1" t="n">
        <v>46089</v>
      </c>
      <c r="D166" t="inlineStr">
        <is>
          <t>VÄRMLANDS LÄN</t>
        </is>
      </c>
      <c r="E166" t="inlineStr">
        <is>
          <t>KIL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65007-2023</t>
        </is>
      </c>
      <c r="B167" s="1" t="n">
        <v>45287</v>
      </c>
      <c r="C167" s="1" t="n">
        <v>46089</v>
      </c>
      <c r="D167" t="inlineStr">
        <is>
          <t>VÄRMLANDS LÄN</t>
        </is>
      </c>
      <c r="E167" t="inlineStr">
        <is>
          <t>KIL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48742-2021</t>
        </is>
      </c>
      <c r="B168" s="1" t="n">
        <v>44452.61798611111</v>
      </c>
      <c r="C168" s="1" t="n">
        <v>46089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49591-2025</t>
        </is>
      </c>
      <c r="B169" s="1" t="n">
        <v>45939</v>
      </c>
      <c r="C169" s="1" t="n">
        <v>46089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35449-2024</t>
        </is>
      </c>
      <c r="B170" s="1" t="n">
        <v>45531</v>
      </c>
      <c r="C170" s="1" t="n">
        <v>46089</v>
      </c>
      <c r="D170" t="inlineStr">
        <is>
          <t>VÄRMLANDS LÄN</t>
        </is>
      </c>
      <c r="E170" t="inlineStr">
        <is>
          <t>KIL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18049-2024</t>
        </is>
      </c>
      <c r="B171" s="1" t="n">
        <v>45420.38435185186</v>
      </c>
      <c r="C171" s="1" t="n">
        <v>46089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41074-2022</t>
        </is>
      </c>
      <c r="B172" s="1" t="n">
        <v>44825.60538194444</v>
      </c>
      <c r="C172" s="1" t="n">
        <v>46089</v>
      </c>
      <c r="D172" t="inlineStr">
        <is>
          <t>VÄRMLANDS LÄN</t>
        </is>
      </c>
      <c r="E172" t="inlineStr">
        <is>
          <t>KIL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30951-2022</t>
        </is>
      </c>
      <c r="B173" s="1" t="n">
        <v>44768</v>
      </c>
      <c r="C173" s="1" t="n">
        <v>46089</v>
      </c>
      <c r="D173" t="inlineStr">
        <is>
          <t>VÄRMLANDS LÄN</t>
        </is>
      </c>
      <c r="E173" t="inlineStr">
        <is>
          <t>KIL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46089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58033-2023</t>
        </is>
      </c>
      <c r="B175" s="1" t="n">
        <v>45247</v>
      </c>
      <c r="C175" s="1" t="n">
        <v>46089</v>
      </c>
      <c r="D175" t="inlineStr">
        <is>
          <t>VÄRMLANDS LÄN</t>
        </is>
      </c>
      <c r="E175" t="inlineStr">
        <is>
          <t>KIL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45672-2024</t>
        </is>
      </c>
      <c r="B176" s="1" t="n">
        <v>45579</v>
      </c>
      <c r="C176" s="1" t="n">
        <v>46089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2077-2024</t>
        </is>
      </c>
      <c r="B177" s="1" t="n">
        <v>45309</v>
      </c>
      <c r="C177" s="1" t="n">
        <v>46089</v>
      </c>
      <c r="D177" t="inlineStr">
        <is>
          <t>VÄRMLANDS LÄN</t>
        </is>
      </c>
      <c r="E177" t="inlineStr">
        <is>
          <t>KIL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8534-2025</t>
        </is>
      </c>
      <c r="B178" s="1" t="n">
        <v>45709</v>
      </c>
      <c r="C178" s="1" t="n">
        <v>46089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8555-2025</t>
        </is>
      </c>
      <c r="B179" s="1" t="n">
        <v>45709</v>
      </c>
      <c r="C179" s="1" t="n">
        <v>46089</v>
      </c>
      <c r="D179" t="inlineStr">
        <is>
          <t>VÄRMLANDS LÄN</t>
        </is>
      </c>
      <c r="E179" t="inlineStr">
        <is>
          <t>KIL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53498-2023</t>
        </is>
      </c>
      <c r="B180" s="1" t="n">
        <v>45230</v>
      </c>
      <c r="C180" s="1" t="n">
        <v>46089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62807-2023</t>
        </is>
      </c>
      <c r="B181" s="1" t="n">
        <v>45271.87197916667</v>
      </c>
      <c r="C181" s="1" t="n">
        <v>46089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46089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46089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46089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46089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46089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46089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30599-2023</t>
        </is>
      </c>
      <c r="B188" s="1" t="n">
        <v>45112</v>
      </c>
      <c r="C188" s="1" t="n">
        <v>46089</v>
      </c>
      <c r="D188" t="inlineStr">
        <is>
          <t>VÄRMLANDS LÄN</t>
        </is>
      </c>
      <c r="E188" t="inlineStr">
        <is>
          <t>KIL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57151-2023</t>
        </is>
      </c>
      <c r="B189" s="1" t="n">
        <v>45245</v>
      </c>
      <c r="C189" s="1" t="n">
        <v>46089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1320-2023</t>
        </is>
      </c>
      <c r="B190" s="1" t="n">
        <v>44936</v>
      </c>
      <c r="C190" s="1" t="n">
        <v>46089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23794-2023</t>
        </is>
      </c>
      <c r="B191" s="1" t="n">
        <v>45078</v>
      </c>
      <c r="C191" s="1" t="n">
        <v>46089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53839-2025</t>
        </is>
      </c>
      <c r="B192" s="1" t="n">
        <v>45961.3575462963</v>
      </c>
      <c r="C192" s="1" t="n">
        <v>46089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53841-2025</t>
        </is>
      </c>
      <c r="B193" s="1" t="n">
        <v>45961.36053240741</v>
      </c>
      <c r="C193" s="1" t="n">
        <v>46089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37169-2021</t>
        </is>
      </c>
      <c r="B194" s="1" t="n">
        <v>44395</v>
      </c>
      <c r="C194" s="1" t="n">
        <v>46089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54593-2025</t>
        </is>
      </c>
      <c r="B195" s="1" t="n">
        <v>45965.74945601852</v>
      </c>
      <c r="C195" s="1" t="n">
        <v>46089</v>
      </c>
      <c r="D195" t="inlineStr">
        <is>
          <t>VÄRMLANDS LÄN</t>
        </is>
      </c>
      <c r="E195" t="inlineStr">
        <is>
          <t>KIL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58679-2021</t>
        </is>
      </c>
      <c r="B196" s="1" t="n">
        <v>44489</v>
      </c>
      <c r="C196" s="1" t="n">
        <v>46089</v>
      </c>
      <c r="D196" t="inlineStr">
        <is>
          <t>VÄRMLANDS LÄN</t>
        </is>
      </c>
      <c r="E196" t="inlineStr">
        <is>
          <t>KIL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3826-2025</t>
        </is>
      </c>
      <c r="B197" s="1" t="n">
        <v>45681.75200231482</v>
      </c>
      <c r="C197" s="1" t="n">
        <v>46089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55444-2025</t>
        </is>
      </c>
      <c r="B198" s="1" t="n">
        <v>45971.49379629629</v>
      </c>
      <c r="C198" s="1" t="n">
        <v>46089</v>
      </c>
      <c r="D198" t="inlineStr">
        <is>
          <t>VÄRMLANDS LÄN</t>
        </is>
      </c>
      <c r="E198" t="inlineStr">
        <is>
          <t>KIL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1332-2026</t>
        </is>
      </c>
      <c r="B199" s="1" t="n">
        <v>46031.57333333333</v>
      </c>
      <c r="C199" s="1" t="n">
        <v>46089</v>
      </c>
      <c r="D199" t="inlineStr">
        <is>
          <t>VÄRMLANDS LÄN</t>
        </is>
      </c>
      <c r="E199" t="inlineStr">
        <is>
          <t>KIL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2708-2023</t>
        </is>
      </c>
      <c r="B200" s="1" t="n">
        <v>44942</v>
      </c>
      <c r="C200" s="1" t="n">
        <v>46089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2990-2022</t>
        </is>
      </c>
      <c r="B201" s="1" t="n">
        <v>44581.85012731481</v>
      </c>
      <c r="C201" s="1" t="n">
        <v>46089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2994-2022</t>
        </is>
      </c>
      <c r="B202" s="1" t="n">
        <v>44581.86648148148</v>
      </c>
      <c r="C202" s="1" t="n">
        <v>46089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5753-2025</t>
        </is>
      </c>
      <c r="B203" s="1" t="n">
        <v>45694</v>
      </c>
      <c r="C203" s="1" t="n">
        <v>46089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64374-2023</t>
        </is>
      </c>
      <c r="B204" s="1" t="n">
        <v>45280.55791666666</v>
      </c>
      <c r="C204" s="1" t="n">
        <v>46089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11330-2024</t>
        </is>
      </c>
      <c r="B205" s="1" t="n">
        <v>45371</v>
      </c>
      <c r="C205" s="1" t="n">
        <v>46089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1847-2025</t>
        </is>
      </c>
      <c r="B206" s="1" t="n">
        <v>45671</v>
      </c>
      <c r="C206" s="1" t="n">
        <v>46089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57011-2025</t>
        </is>
      </c>
      <c r="B207" s="1" t="n">
        <v>45978.80706018519</v>
      </c>
      <c r="C207" s="1" t="n">
        <v>46089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59944-2024</t>
        </is>
      </c>
      <c r="B208" s="1" t="n">
        <v>45642.33300925926</v>
      </c>
      <c r="C208" s="1" t="n">
        <v>46089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17635-2022</t>
        </is>
      </c>
      <c r="B209" s="1" t="n">
        <v>44680</v>
      </c>
      <c r="C209" s="1" t="n">
        <v>46089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56954-2025</t>
        </is>
      </c>
      <c r="B210" s="1" t="n">
        <v>45978.65318287037</v>
      </c>
      <c r="C210" s="1" t="n">
        <v>46089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58244-2025</t>
        </is>
      </c>
      <c r="B211" s="1" t="n">
        <v>45985</v>
      </c>
      <c r="C211" s="1" t="n">
        <v>46089</v>
      </c>
      <c r="D211" t="inlineStr">
        <is>
          <t>VÄRMLANDS LÄN</t>
        </is>
      </c>
      <c r="E211" t="inlineStr">
        <is>
          <t>KIL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56957-2025</t>
        </is>
      </c>
      <c r="B212" s="1" t="n">
        <v>45978</v>
      </c>
      <c r="C212" s="1" t="n">
        <v>46089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46089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46089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18948-2024</t>
        </is>
      </c>
      <c r="B215" s="1" t="n">
        <v>45427.49891203704</v>
      </c>
      <c r="C215" s="1" t="n">
        <v>46089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12252-2024</t>
        </is>
      </c>
      <c r="B216" s="1" t="n">
        <v>45378</v>
      </c>
      <c r="C216" s="1" t="n">
        <v>46089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3174-2026</t>
        </is>
      </c>
      <c r="B217" s="1" t="n">
        <v>46041.44421296296</v>
      </c>
      <c r="C217" s="1" t="n">
        <v>46089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43186-2025</t>
        </is>
      </c>
      <c r="B218" s="1" t="n">
        <v>45910</v>
      </c>
      <c r="C218" s="1" t="n">
        <v>46089</v>
      </c>
      <c r="D218" t="inlineStr">
        <is>
          <t>VÄRMLANDS LÄN</t>
        </is>
      </c>
      <c r="E218" t="inlineStr">
        <is>
          <t>KIL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43194-2025</t>
        </is>
      </c>
      <c r="B219" s="1" t="n">
        <v>45910</v>
      </c>
      <c r="C219" s="1" t="n">
        <v>46089</v>
      </c>
      <c r="D219" t="inlineStr">
        <is>
          <t>VÄRMLANDS LÄN</t>
        </is>
      </c>
      <c r="E219" t="inlineStr">
        <is>
          <t>KIL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8528-2025</t>
        </is>
      </c>
      <c r="B220" s="1" t="n">
        <v>45709</v>
      </c>
      <c r="C220" s="1" t="n">
        <v>46089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46117-2022</t>
        </is>
      </c>
      <c r="B221" s="1" t="n">
        <v>44847</v>
      </c>
      <c r="C221" s="1" t="n">
        <v>46089</v>
      </c>
      <c r="D221" t="inlineStr">
        <is>
          <t>VÄRMLANDS LÄN</t>
        </is>
      </c>
      <c r="E221" t="inlineStr">
        <is>
          <t>KIL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61436-2025</t>
        </is>
      </c>
      <c r="B222" s="1" t="n">
        <v>46001.56537037037</v>
      </c>
      <c r="C222" s="1" t="n">
        <v>46089</v>
      </c>
      <c r="D222" t="inlineStr">
        <is>
          <t>VÄRMLANDS LÄN</t>
        </is>
      </c>
      <c r="E222" t="inlineStr">
        <is>
          <t>KIL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11929-2023</t>
        </is>
      </c>
      <c r="B223" s="1" t="n">
        <v>44995.49393518519</v>
      </c>
      <c r="C223" s="1" t="n">
        <v>46089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12215-2021</t>
        </is>
      </c>
      <c r="B224" s="1" t="n">
        <v>44266</v>
      </c>
      <c r="C224" s="1" t="n">
        <v>46089</v>
      </c>
      <c r="D224" t="inlineStr">
        <is>
          <t>VÄRMLANDS LÄN</t>
        </is>
      </c>
      <c r="E224" t="inlineStr">
        <is>
          <t>KIL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59871-2024</t>
        </is>
      </c>
      <c r="B225" s="1" t="n">
        <v>45640</v>
      </c>
      <c r="C225" s="1" t="n">
        <v>46089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2314-2022</t>
        </is>
      </c>
      <c r="B226" s="1" t="n">
        <v>44578.78197916667</v>
      </c>
      <c r="C226" s="1" t="n">
        <v>46089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58679-2021</t>
        </is>
      </c>
      <c r="B227" s="1" t="n">
        <v>44489</v>
      </c>
      <c r="C227" s="1" t="n">
        <v>46089</v>
      </c>
      <c r="D227" t="inlineStr">
        <is>
          <t>VÄRMLANDS LÄN</t>
        </is>
      </c>
      <c r="E227" t="inlineStr">
        <is>
          <t>KIL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969-2022</t>
        </is>
      </c>
      <c r="B228" s="1" t="n">
        <v>44571.57540509259</v>
      </c>
      <c r="C228" s="1" t="n">
        <v>46089</v>
      </c>
      <c r="D228" t="inlineStr">
        <is>
          <t>VÄRMLANDS LÄN</t>
        </is>
      </c>
      <c r="E228" t="inlineStr">
        <is>
          <t>KIL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10910-2023</t>
        </is>
      </c>
      <c r="B229" s="1" t="n">
        <v>44991</v>
      </c>
      <c r="C229" s="1" t="n">
        <v>46089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12652-2024</t>
        </is>
      </c>
      <c r="B230" s="1" t="n">
        <v>45384.35752314814</v>
      </c>
      <c r="C230" s="1" t="n">
        <v>46089</v>
      </c>
      <c r="D230" t="inlineStr">
        <is>
          <t>VÄRMLANDS LÄN</t>
        </is>
      </c>
      <c r="E230" t="inlineStr">
        <is>
          <t>KIL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46089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4743-2026</t>
        </is>
      </c>
      <c r="B232" s="1" t="n">
        <v>46048.5056712963</v>
      </c>
      <c r="C232" s="1" t="n">
        <v>46089</v>
      </c>
      <c r="D232" t="inlineStr">
        <is>
          <t>VÄRMLANDS LÄN</t>
        </is>
      </c>
      <c r="E232" t="inlineStr">
        <is>
          <t>KIL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27792-2023</t>
        </is>
      </c>
      <c r="B233" s="1" t="n">
        <v>45098.45302083333</v>
      </c>
      <c r="C233" s="1" t="n">
        <v>46089</v>
      </c>
      <c r="D233" t="inlineStr">
        <is>
          <t>VÄRMLANDS LÄN</t>
        </is>
      </c>
      <c r="E233" t="inlineStr">
        <is>
          <t>KIL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46089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46089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46089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46089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46089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46089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46089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46089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46089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46089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46089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46089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46089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46089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46089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46089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46089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46089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46089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46089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46089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46089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46089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46089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46089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46089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46089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46089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46089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46089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46089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46089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46089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46089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46089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46089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46089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46089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46089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46089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46089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46089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46089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46089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46089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46089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46089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46089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46089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46089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55306-2024</t>
        </is>
      </c>
      <c r="B284" s="1" t="n">
        <v>45621</v>
      </c>
      <c r="C284" s="1" t="n">
        <v>46089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37620-2024</t>
        </is>
      </c>
      <c r="B285" s="1" t="n">
        <v>45541</v>
      </c>
      <c r="C285" s="1" t="n">
        <v>46089</v>
      </c>
      <c r="D285" t="inlineStr">
        <is>
          <t>VÄRMLANDS LÄN</t>
        </is>
      </c>
      <c r="E285" t="inlineStr">
        <is>
          <t>KIL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37622-2024</t>
        </is>
      </c>
      <c r="B286" s="1" t="n">
        <v>45541</v>
      </c>
      <c r="C286" s="1" t="n">
        <v>46089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53416-2023</t>
        </is>
      </c>
      <c r="B287" s="1" t="n">
        <v>45229</v>
      </c>
      <c r="C287" s="1" t="n">
        <v>46089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29698-2024</t>
        </is>
      </c>
      <c r="B288" s="1" t="n">
        <v>45484</v>
      </c>
      <c r="C288" s="1" t="n">
        <v>46089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23786-2022</t>
        </is>
      </c>
      <c r="B289" s="1" t="n">
        <v>44722</v>
      </c>
      <c r="C289" s="1" t="n">
        <v>46089</v>
      </c>
      <c r="D289" t="inlineStr">
        <is>
          <t>VÄRMLANDS LÄN</t>
        </is>
      </c>
      <c r="E289" t="inlineStr">
        <is>
          <t>KIL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42522-2021</t>
        </is>
      </c>
      <c r="B290" s="1" t="n">
        <v>44427</v>
      </c>
      <c r="C290" s="1" t="n">
        <v>46089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46089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46089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46089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46089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46089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46089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46089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59503-2022</t>
        </is>
      </c>
      <c r="B298" s="1" t="n">
        <v>44907.48916666667</v>
      </c>
      <c r="C298" s="1" t="n">
        <v>46089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46089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10634-2024</t>
        </is>
      </c>
      <c r="B300" s="1" t="n">
        <v>45367.43570601852</v>
      </c>
      <c r="C300" s="1" t="n">
        <v>46089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34402-2022</t>
        </is>
      </c>
      <c r="B301" s="1" t="n">
        <v>44792.52918981481</v>
      </c>
      <c r="C301" s="1" t="n">
        <v>46089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46089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72073-2021</t>
        </is>
      </c>
      <c r="B303" s="1" t="n">
        <v>44544.50324074074</v>
      </c>
      <c r="C303" s="1" t="n">
        <v>46089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24568-2024</t>
        </is>
      </c>
      <c r="B304" s="1" t="n">
        <v>45460.44770833333</v>
      </c>
      <c r="C304" s="1" t="n">
        <v>46089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46089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46089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46089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46089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46089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40853-2024</t>
        </is>
      </c>
      <c r="B310" s="1" t="n">
        <v>45558</v>
      </c>
      <c r="C310" s="1" t="n">
        <v>46089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1843-2025</t>
        </is>
      </c>
      <c r="B311" s="1" t="n">
        <v>45671.57612268518</v>
      </c>
      <c r="C311" s="1" t="n">
        <v>46089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7368-2025</t>
        </is>
      </c>
      <c r="B312" s="1" t="n">
        <v>45704</v>
      </c>
      <c r="C312" s="1" t="n">
        <v>46089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13094-2025</t>
        </is>
      </c>
      <c r="B313" s="1" t="n">
        <v>45734</v>
      </c>
      <c r="C313" s="1" t="n">
        <v>46089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14143-2024</t>
        </is>
      </c>
      <c r="B314" s="1" t="n">
        <v>45392</v>
      </c>
      <c r="C314" s="1" t="n">
        <v>46089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14732-2022</t>
        </is>
      </c>
      <c r="B315" s="1" t="n">
        <v>44655</v>
      </c>
      <c r="C315" s="1" t="n">
        <v>46089</v>
      </c>
      <c r="D315" t="inlineStr">
        <is>
          <t>VÄRMLANDS LÄN</t>
        </is>
      </c>
      <c r="E315" t="inlineStr">
        <is>
          <t>KIL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10635-2024</t>
        </is>
      </c>
      <c r="B316" s="1" t="n">
        <v>45367.44355324074</v>
      </c>
      <c r="C316" s="1" t="n">
        <v>46089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57967-2021</t>
        </is>
      </c>
      <c r="B317" s="1" t="n">
        <v>44487</v>
      </c>
      <c r="C317" s="1" t="n">
        <v>46089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46089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46089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10398-2025</t>
        </is>
      </c>
      <c r="B320" s="1" t="n">
        <v>45720</v>
      </c>
      <c r="C320" s="1" t="n">
        <v>46089</v>
      </c>
      <c r="D320" t="inlineStr">
        <is>
          <t>VÄRMLANDS LÄN</t>
        </is>
      </c>
      <c r="E320" t="inlineStr">
        <is>
          <t>KIL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14675-2024</t>
        </is>
      </c>
      <c r="B321" s="1" t="n">
        <v>45397.45333333333</v>
      </c>
      <c r="C321" s="1" t="n">
        <v>46089</v>
      </c>
      <c r="D321" t="inlineStr">
        <is>
          <t>VÄRMLANDS LÄN</t>
        </is>
      </c>
      <c r="E321" t="inlineStr">
        <is>
          <t>KIL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46089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46089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6015-2023</t>
        </is>
      </c>
      <c r="B324" s="1" t="n">
        <v>44964.41993055555</v>
      </c>
      <c r="C324" s="1" t="n">
        <v>46089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8911-2025</t>
        </is>
      </c>
      <c r="B325" s="1" t="n">
        <v>45713</v>
      </c>
      <c r="C325" s="1" t="n">
        <v>46089</v>
      </c>
      <c r="D325" t="inlineStr">
        <is>
          <t>VÄRMLANDS LÄN</t>
        </is>
      </c>
      <c r="E325" t="inlineStr">
        <is>
          <t>KIL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46089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44646-2024</t>
        </is>
      </c>
      <c r="B327" s="1" t="n">
        <v>45574</v>
      </c>
      <c r="C327" s="1" t="n">
        <v>46089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59938-2024</t>
        </is>
      </c>
      <c r="B328" s="1" t="n">
        <v>45642.32818287037</v>
      </c>
      <c r="C328" s="1" t="n">
        <v>46089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46089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46089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46089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249-2022</t>
        </is>
      </c>
      <c r="B332" s="1" t="n">
        <v>44565</v>
      </c>
      <c r="C332" s="1" t="n">
        <v>46089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58935-2024</t>
        </is>
      </c>
      <c r="B333" s="1" t="n">
        <v>45636</v>
      </c>
      <c r="C333" s="1" t="n">
        <v>46089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28195-2022</t>
        </is>
      </c>
      <c r="B334" s="1" t="n">
        <v>44746</v>
      </c>
      <c r="C334" s="1" t="n">
        <v>46089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46089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46089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46089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57220-2024</t>
        </is>
      </c>
      <c r="B338" s="1" t="n">
        <v>45629</v>
      </c>
      <c r="C338" s="1" t="n">
        <v>46089</v>
      </c>
      <c r="D338" t="inlineStr">
        <is>
          <t>VÄRMLANDS LÄN</t>
        </is>
      </c>
      <c r="E338" t="inlineStr">
        <is>
          <t>KIL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2026-03-08T11:21:08Z</dcterms:created>
  <dcterms:modified xmlns:dcterms="http://purl.org/dc/terms/" xmlns:xsi="http://www.w3.org/2001/XMLSchema-instance" xsi:type="dcterms:W3CDTF">2026-03-08T11:21:09Z</dcterms:modified>
</cp:coreProperties>
</file>